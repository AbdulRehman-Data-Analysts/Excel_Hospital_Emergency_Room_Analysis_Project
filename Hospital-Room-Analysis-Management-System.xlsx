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Excel-Project\"/>
    </mc:Choice>
  </mc:AlternateContent>
  <xr:revisionPtr revIDLastSave="0" documentId="13_ncr:1_{8B065DE8-1689-42A3-8A27-D2BBFA759AA8}" xr6:coauthVersionLast="47" xr6:coauthVersionMax="47" xr10:uidLastSave="{00000000-0000-0000-0000-000000000000}"/>
  <bookViews>
    <workbookView xWindow="-108" yWindow="-108" windowWidth="23256" windowHeight="12456" activeTab="1" xr2:uid="{4676801B-A177-449D-A2B1-B218B9553C2C}"/>
  </bookViews>
  <sheets>
    <sheet name="Pivot-Report" sheetId="1" r:id="rId1"/>
    <sheet name="Dashboard" sheetId="3" r:id="rId2"/>
    <sheet name="Daily ER of Patient" sheetId="4" r:id="rId3"/>
    <sheet name="Average Wait time" sheetId="5" r:id="rId4"/>
    <sheet name="Patient Satisfaction Score" sheetId="6" r:id="rId5"/>
  </sheets>
  <definedNames>
    <definedName name="Slicer_Date__Month">#N/A</definedName>
    <definedName name="Slicer_Date__Year">#N/A</definedName>
  </definedNames>
  <calcPr calcId="191029"/>
  <pivotCaches>
    <pivotCache cacheId="15" r:id="rId6"/>
    <pivotCache cacheId="18" r:id="rId7"/>
    <pivotCache cacheId="21" r:id="rId8"/>
    <pivotCache cacheId="24" r:id="rId9"/>
    <pivotCache cacheId="27" r:id="rId10"/>
    <pivotCache cacheId="30" r:id="rId11"/>
    <pivotCache cacheId="33" r:id="rId12"/>
    <pivotCache cacheId="36" r:id="rId13"/>
    <pivotCache cacheId="39" r:id="rId14"/>
    <pivotCache cacheId="42" r:id="rId15"/>
    <pivotCache cacheId="45" r:id="rId16"/>
    <pivotCache cacheId="4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Final_ec326ac3-bb5a-42d9-94dd-1a61308541fe" name="Hospital Emergency Room Data-Final" connection="Query - Hospital Emergency Room Data-Final"/>
          <x15:modelTable id="Calender_Table_f1f01a71-deaf-482a-94aa-47a6a8ed4643" name="Calender_Table" connection="Query - Calender_Table"/>
        </x15:modelTables>
        <x15:modelRelationships>
          <x15:modelRelationship fromTable="Hospital Emergency Room Data-Final" fromColumn="Patient Admission Date.1"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6" i="1" l="1"/>
  <c r="C26" i="1"/>
  <c r="B25" i="1"/>
  <c r="C25" i="1"/>
  <c r="A25" i="1"/>
  <c r="A2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904B0D-7742-49BE-A04D-6653F89E6C70}" name="Query - Calender_Table" description="Connection to the 'Calender_Table' query in the workbook." type="100" refreshedVersion="7" minRefreshableVersion="5">
    <extLst>
      <ext xmlns:x15="http://schemas.microsoft.com/office/spreadsheetml/2010/11/main" uri="{DE250136-89BD-433C-8126-D09CA5730AF9}">
        <x15:connection id="b842d3eb-24df-4b80-90e1-dd09801b875c"/>
      </ext>
    </extLst>
  </connection>
  <connection id="2" xr16:uid="{DDB69FFC-B7A1-4A20-9393-87C7FF139314}" name="Query - Hospital Emergency Room Data-Final" description="Connection to the 'Hospital Emergency Room Data-Final' query in the workbook." type="100" refreshedVersion="7" minRefreshableVersion="5">
    <extLst>
      <ext xmlns:x15="http://schemas.microsoft.com/office/spreadsheetml/2010/11/main" uri="{DE250136-89BD-433C-8126-D09CA5730AF9}">
        <x15:connection id="7a384f54-03c5-4818-83a3-948794b08222">
          <x15:oledbPr connection="Provider=Microsoft.Mashup.OleDb.1;Data Source=$Workbook$;Location=&quot;Hospital Emergency Room Data-Final&quot;;Extended Properties=&quot;&quot;">
            <x15:dbTables>
              <x15:dbTable name="Hospital Emergency Room Data-Final"/>
            </x15:dbTables>
          </x15:oledbPr>
        </x15:connection>
      </ext>
    </extLst>
  </connection>
  <connection id="3" xr16:uid="{85E1B820-326E-4C8B-97B9-1B9A33DEC3E7}"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<sst xmlns="http://schemas.openxmlformats.org/spreadsheetml/2006/main" count="165" uniqueCount="81">
  <si>
    <t>Distinct Count of Patient Id</t>
  </si>
  <si>
    <t>No of Patient</t>
  </si>
  <si>
    <t>Average of Patient Waittime</t>
  </si>
  <si>
    <t>Average of Patient Satisfaction Score</t>
  </si>
  <si>
    <t>Row Labels</t>
  </si>
  <si>
    <t>Grand Total</t>
  </si>
  <si>
    <t>Average Wait Time</t>
  </si>
  <si>
    <t>Use an area chart to track daily changes and highlight days with longer wait times that might needs improvements</t>
  </si>
  <si>
    <t>Patient Satisfaction Score</t>
  </si>
  <si>
    <r>
      <t xml:space="preserve">                             </t>
    </r>
    <r>
      <rPr>
        <b/>
        <sz val="11"/>
        <color theme="1"/>
        <rFont val="Calibri"/>
        <family val="2"/>
        <scheme val="minor"/>
      </rPr>
      <t>Daily Trends No of Patient</t>
    </r>
  </si>
  <si>
    <t>Use an area chart to show trends, spot drops in satisfaction, and link them to busy time and challenges.</t>
  </si>
  <si>
    <t>Showing a daily trend with an area chart to spot patterns like busy days or market trends</t>
  </si>
  <si>
    <t>Admitted</t>
  </si>
  <si>
    <t>Not Admitted</t>
  </si>
  <si>
    <t>Count of Patient Admission Flag</t>
  </si>
  <si>
    <t>Count of Patient Admission Flag2</t>
  </si>
  <si>
    <t>Admission Status</t>
  </si>
  <si>
    <t>%Status</t>
  </si>
  <si>
    <t>Chart</t>
  </si>
  <si>
    <t xml:space="preserve">Patient </t>
  </si>
  <si>
    <t>0-9</t>
  </si>
  <si>
    <t>10-19</t>
  </si>
  <si>
    <t>20-29</t>
  </si>
  <si>
    <t>30-39</t>
  </si>
  <si>
    <t>40-49</t>
  </si>
  <si>
    <t>50-59</t>
  </si>
  <si>
    <t>60-69</t>
  </si>
  <si>
    <t>70-79</t>
  </si>
  <si>
    <t>Count of Age Group</t>
  </si>
  <si>
    <t>Delay</t>
  </si>
  <si>
    <t>Ontime</t>
  </si>
  <si>
    <t>Count of Patient Attend Status</t>
  </si>
  <si>
    <t>Patient Attended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</si>
  <si>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</si>
  <si>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</si>
  <si>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</si>
  <si>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</si>
  <si>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</si>
  <si>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</si>
  <si>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</si>
  <si>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</si>
  <si>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</si>
  <si>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</si>
  <si>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</si>
  <si>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</si>
  <si>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</si>
  <si>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Patient Department Referal</t>
  </si>
  <si>
    <t>Year Slicer</t>
  </si>
  <si>
    <t>2024</t>
  </si>
  <si>
    <t>Jul</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</si>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</sst>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0"/>
      <color rgb="FFFFFFFF"/>
      <name val="Calibri"/>
      <family val="2"/>
      <scheme val="minor"/>
    </font>
  </fonts>
  <fills count="5">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rgb="FF92D050"/>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4" fillId="0" borderId="0" applyFont="0" applyFill="0" applyBorder="0" applyAlignment="0" applyProtection="0"/>
  </cellStyleXfs>
  <cellXfs count="24">
    <xf numFmtId="0" fontId="0" fillId="0" borderId="0" xfId="0"/>
    <xf numFmtId="0" fontId="0" fillId="0" borderId="0" xfId="0" applyNumberFormat="1"/>
    <xf numFmtId="0" fontId="1" fillId="0" borderId="0" xfId="0" applyFont="1"/>
    <xf numFmtId="2" fontId="0" fillId="0" borderId="0" xfId="0" applyNumberFormat="1"/>
    <xf numFmtId="0" fontId="0" fillId="2" borderId="0" xfId="0" applyFill="1"/>
    <xf numFmtId="0" fontId="0" fillId="0"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0" xfId="0" applyFont="1" applyFill="1"/>
    <xf numFmtId="0" fontId="3" fillId="2" borderId="0" xfId="0" applyFont="1" applyFill="1"/>
    <xf numFmtId="1" fontId="0" fillId="0" borderId="0" xfId="0" applyNumberFormat="1"/>
    <xf numFmtId="10" fontId="0" fillId="0" borderId="0" xfId="0" applyNumberFormat="1"/>
    <xf numFmtId="0" fontId="7" fillId="0" borderId="0" xfId="0" applyFont="1" applyAlignment="1">
      <alignment horizontal="center" vertical="center"/>
    </xf>
    <xf numFmtId="0" fontId="1" fillId="0" borderId="1" xfId="0" applyFont="1" applyFill="1" applyBorder="1"/>
    <xf numFmtId="0" fontId="5" fillId="3" borderId="0" xfId="0" applyFont="1" applyFill="1" applyBorder="1" applyAlignment="1">
      <alignment horizontal="left"/>
    </xf>
    <xf numFmtId="0" fontId="5" fillId="3" borderId="0" xfId="0" applyFont="1" applyFill="1" applyBorder="1"/>
    <xf numFmtId="0" fontId="6" fillId="3" borderId="0" xfId="0" applyFont="1" applyFill="1" applyBorder="1" applyAlignment="1">
      <alignment horizontal="left"/>
    </xf>
    <xf numFmtId="0" fontId="6" fillId="3" borderId="0" xfId="0" applyFont="1" applyFill="1" applyAlignment="1">
      <alignment horizontal="left"/>
    </xf>
    <xf numFmtId="9" fontId="6" fillId="3" borderId="0" xfId="1" applyFont="1" applyFill="1" applyAlignment="1">
      <alignment horizontal="left"/>
    </xf>
    <xf numFmtId="0" fontId="6" fillId="3" borderId="0" xfId="0" applyFont="1" applyFill="1"/>
    <xf numFmtId="0" fontId="0" fillId="0" borderId="0" xfId="0"/>
    <xf numFmtId="0" fontId="0" fillId="4" borderId="0" xfId="0" applyFill="1"/>
    <xf numFmtId="0" fontId="0" fillId="0" borderId="0" xfId="0"/>
  </cellXfs>
  <cellStyles count="2">
    <cellStyle name="Normal" xfId="0" builtinId="0"/>
    <cellStyle name="Percent" xfId="1" builtinId="5"/>
  </cellStyles>
  <dxfs count="1501">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9"/>
        </bottom>
        <vertical/>
        <horizontal/>
      </border>
    </dxf>
    <dxf>
      <font>
        <color theme="1"/>
      </font>
      <fill>
        <patternFill>
          <bgColor theme="9" tint="-0.24994659260841701"/>
        </patternFill>
      </fill>
      <border diagonalUp="0" diagonalDown="0">
        <left/>
        <right/>
        <top/>
        <bottom/>
        <vertical/>
        <horizontal/>
      </border>
    </dxf>
    <dxf>
      <border diagonalUp="0" diagonalDown="0">
        <left/>
        <right/>
        <top/>
        <bottom/>
        <vertical/>
        <horizontal/>
      </border>
    </dxf>
    <dxf>
      <font>
        <color theme="4" tint="-0.24994659260841701"/>
      </font>
    </dxf>
    <dxf>
      <font>
        <color auto="1"/>
      </font>
    </dxf>
    <dxf>
      <font>
        <color auto="1"/>
      </font>
      <fill>
        <patternFill patternType="solid">
          <bgColor theme="4" tint="-0.24994659260841701"/>
        </patternFill>
      </fill>
      <border diagonalUp="0" diagonalDown="0">
        <left/>
        <right/>
        <top/>
        <bottom/>
        <vertical/>
        <horizontal/>
      </border>
    </dxf>
    <dxf>
      <font>
        <color auto="1"/>
      </font>
      <fill>
        <patternFill>
          <bgColor theme="4" tint="-0.24994659260841701"/>
        </patternFill>
      </fill>
      <border diagonalUp="0" diagonalDown="0">
        <left/>
        <right/>
        <top/>
        <bottom/>
        <vertical/>
        <horizontal/>
      </border>
    </dxf>
    <dxf>
      <font>
        <sz val="12"/>
        <color theme="5" tint="-0.24994659260841701"/>
        <name val="Times New Roman"/>
        <family val="1"/>
      </font>
      <border>
        <bottom style="thin">
          <color theme="5"/>
        </bottom>
        <vertical/>
        <horizontal/>
      </border>
    </dxf>
    <dxf>
      <font>
        <color theme="1"/>
      </font>
      <fill>
        <patternFill>
          <bgColor theme="9" tint="-0.24994659260841701"/>
        </patternFill>
      </fill>
      <border diagonalUp="0" diagonalDown="0">
        <left/>
        <right/>
        <top/>
        <bottom/>
        <vertical/>
        <horizontal/>
      </border>
    </dxf>
    <dxf>
      <font>
        <color theme="0"/>
      </font>
      <border>
        <bottom style="thin">
          <color theme="5"/>
        </bottom>
        <vertical/>
        <horizontal/>
      </border>
    </dxf>
    <dxf>
      <font>
        <color theme="0"/>
      </font>
      <fill>
        <patternFill>
          <bgColor theme="5" tint="-0.499984740745262"/>
        </patternFill>
      </fill>
      <border diagonalUp="0" diagonalDown="0">
        <left/>
        <right/>
        <top/>
        <bottom/>
        <vertical/>
        <horizontal/>
      </border>
    </dxf>
  </dxfs>
  <tableStyles count="8" defaultTableStyle="TableStyleMedium2" defaultPivotStyle="PivotStyleLight16">
    <tableStyle name="My style" pivot="0" table="0" count="10" xr9:uid="{0EAC2617-B3D1-4409-9FEB-7C4C04A108F2}">
      <tableStyleElement type="wholeTable" dxfId="1500"/>
      <tableStyleElement type="headerRow" dxfId="1499"/>
    </tableStyle>
    <tableStyle name="My Style1" pivot="0" table="0" count="10" xr9:uid="{4461CB7C-A120-4AF0-9D78-F0046EE70A23}">
      <tableStyleElement type="wholeTable" dxfId="1498"/>
      <tableStyleElement type="headerRow" dxfId="1497"/>
    </tableStyle>
    <tableStyle name="Slicer Style 1" pivot="0" table="0" count="1" xr9:uid="{A01CBF6A-7ACA-421D-B093-3DDF80C225C8}">
      <tableStyleElement type="wholeTable" dxfId="1496"/>
    </tableStyle>
    <tableStyle name="Slicer Style 2" pivot="0" table="0" count="3" xr9:uid="{8610C8A1-0D72-4B97-BACD-B5B84123E41D}">
      <tableStyleElement type="wholeTable" dxfId="1495"/>
    </tableStyle>
    <tableStyle name="Slicer Style 3" pivot="0" table="0" count="2" xr9:uid="{F71617D1-8979-4D7A-9A08-86B8ECCF88D1}">
      <tableStyleElement type="wholeTable" dxfId="1494"/>
      <tableStyleElement type="headerRow" dxfId="1493"/>
    </tableStyle>
    <tableStyle name="Slicer Style 4" pivot="0" table="0" count="0" xr9:uid="{257BF2D0-336A-42E4-B2F1-7322A3ED6233}"/>
    <tableStyle name="Slicer Style 5" pivot="0" table="0" count="3" xr9:uid="{F0DD3F6D-C4ED-4D99-9EB6-AB6055A3F4E6}">
      <tableStyleElement type="wholeTable" dxfId="1492"/>
    </tableStyle>
    <tableStyle name="SlicerStyleDark6 2" pivot="0" table="0" count="10" xr9:uid="{A5929B74-B0FD-476F-98BF-A7924B108F03}">
      <tableStyleElement type="wholeTable" dxfId="1491"/>
      <tableStyleElement type="headerRow" dxfId="1490"/>
    </tableStyle>
  </tableStyles>
  <extLst>
    <ext xmlns:x14="http://schemas.microsoft.com/office/spreadsheetml/2009/9/main" uri="{46F421CA-312F-682f-3DD2-61675219B42D}">
      <x14:dxfs count="27">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border diagonalUp="0" diagonalDown="0">
            <left/>
            <right/>
            <top/>
            <bottom/>
            <vertical/>
            <horizontal/>
          </border>
        </dxf>
        <dxf>
          <font>
            <color theme="1"/>
          </font>
        </dxf>
        <dxf>
          <font>
            <color theme="0"/>
          </font>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My Style1">
        <x14:slicerStyle name="My style">
          <x14:slicerStyleElements>
            <x14:slicerStyleElement type="unselectedItemWithData" dxfId="26"/>
            <x14:slicerStyleElement type="unselectedItemWithNoData" dxfId="25"/>
            <x14:slicerStyleElement type="selectedItemWithData" dxfId="24"/>
            <x14:slicerStyleElement type="selectedItemWithNoData" dxfId="23"/>
            <x14:slicerStyleElement type="hoveredUnselectedItemWithData" dxfId="22"/>
            <x14:slicerStyleElement type="hoveredSelectedItemWithData" dxfId="21"/>
            <x14:slicerStyleElement type="hoveredUnselectedItemWithNoData" dxfId="20"/>
            <x14:slicerStyleElement type="hoveredSelectedItemWithNoData" dxfId="19"/>
          </x14:slicerStyleElements>
        </x14:slicerStyle>
        <x14:slicerStyle name="My Style1">
          <x14:slicerStyleElements>
            <x14:slicerStyleElement type="unselectedItemWithData" dxfId="18"/>
            <x14:slicerStyleElement type="unselectedItemWithNoData" dxfId="17"/>
            <x14:slicerStyleElement type="selectedItemWithData" dxfId="16"/>
            <x14:slicerStyleElement type="selectedItemWithNoData" dxfId="15"/>
            <x14:slicerStyleElement type="hoveredUnselectedItemWithData" dxfId="14"/>
            <x14:slicerStyleElement type="hoveredSelectedItemWithData" dxfId="13"/>
            <x14:slicerStyleElement type="hoveredUnselectedItemWithNoData" dxfId="12"/>
            <x14:slicerStyleElement type="hoveredSelectedItemWithNoData" dxfId="11"/>
          </x14:slicerStyleElements>
        </x14:slicerStyle>
        <x14:slicerStyle name="Slicer Style 1"/>
        <x14:slicerStyle name="Slicer Style 2">
          <x14:slicerStyleElements>
            <x14:slicerStyleElement type="selectedItemWithData" dxfId="10"/>
            <x14:slicerStyleElement type="selectedItemWithNoData" dxfId="9"/>
          </x14:slicerStyleElements>
        </x14:slicerStyle>
        <x14:slicerStyle name="Slicer Style 3"/>
        <x14:slicerStyle name="Slicer Style 4"/>
        <x14:slicerStyle name="Slicer Style 5">
          <x14:slicerStyleElements>
            <x14:slicerStyleElement type="selectedItemWithData" dxfId="8"/>
            <x14:slicerStyleElement type="selectedItemWithNoData"/>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[Hospital-Room-Analysis-Management-System.xlsx]Pivot-Report!PivotTable7</c:name>
    <c:fmtId val="0"/>
  </c:pivotSource>
  <c:chart>
    <c:autoTitleDeleted val="1"/>
    <c:pivotFmts>
      <c:pivotFmt>
        <c:idx val="0"/>
        <c:spPr>
          <a:solidFill>
            <a:schemeClr val="bg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50" b="0" i="0" u="none" strike="noStrike" kern="1200" baseline="0">
                  <a:solidFill>
                    <a:schemeClr val="bg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2"/>
        <c:spPr>
          <a:solidFill>
            <a:schemeClr val="bg1"/>
          </a:solidFill>
          <a:ln>
            <a:noFill/>
          </a:ln>
          <a:effectLst/>
        </c:spPr>
        <c:dLbl>
          <c:idx val="0"/>
          <c:tx>
            <c:rich>
              <a:bodyPr rot="0" spcFirstLastPara="1" vertOverflow="ellipsis" vert="horz" wrap="none" lIns="38100" tIns="19050" rIns="38100" bIns="19050" anchor="ctr" anchorCtr="1">
                <a:spAutoFit/>
              </a:bodyPr>
              <a:lstStyle/>
              <a:p>
                <a:pPr>
                  <a:defRPr sz="950" b="0" i="0" u="none" strike="noStrike" kern="1200" baseline="0">
                    <a:solidFill>
                      <a:schemeClr val="bg1"/>
                    </a:solidFill>
                    <a:latin typeface="+mn-lt"/>
                    <a:ea typeface="+mn-ea"/>
                    <a:cs typeface="+mn-cs"/>
                  </a:defRPr>
                </a:pPr>
                <a:fld id="{355AB464-A08C-43BA-9D67-55C090DE9BD4}" type="CELLRANGE">
                  <a:rPr lang="en-US" sz="1000"/>
                  <a:pPr>
                    <a:defRPr sz="950" b="0" i="0" u="none" strike="noStrike" kern="1200" baseline="0">
                      <a:solidFill>
                        <a:schemeClr val="bg1"/>
                      </a:solidFill>
                      <a:latin typeface="+mn-lt"/>
                      <a:ea typeface="+mn-ea"/>
                      <a:cs typeface="+mn-cs"/>
                    </a:defRPr>
                  </a:pPr>
                  <a:t>[CELLRANGE]</a:t>
                </a:fld>
                <a:endParaRPr lang="en-PK"/>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bg1"/>
          </a:solidFill>
          <a:ln>
            <a:noFill/>
          </a:ln>
          <a:effectLst/>
        </c:spPr>
        <c:dLbl>
          <c:idx val="0"/>
          <c:layout>
            <c:manualLayout>
              <c:x val="6.0120240480961921E-2"/>
              <c:y val="0"/>
            </c:manualLayout>
          </c:layout>
          <c:tx>
            <c:rich>
              <a:bodyPr rot="0" spcFirstLastPara="1" vertOverflow="ellipsis" vert="horz" wrap="none" lIns="38100" tIns="19050" rIns="38100" bIns="19050" anchor="ctr" anchorCtr="1">
                <a:noAutofit/>
              </a:bodyPr>
              <a:lstStyle/>
              <a:p>
                <a:pPr>
                  <a:defRPr sz="950" b="0" i="0" u="none" strike="noStrike" kern="1200" baseline="0">
                    <a:solidFill>
                      <a:schemeClr val="bg1"/>
                    </a:solidFill>
                    <a:latin typeface="+mn-lt"/>
                    <a:ea typeface="+mn-ea"/>
                    <a:cs typeface="+mn-cs"/>
                  </a:defRPr>
                </a:pPr>
                <a:fld id="{CCE0C9EA-A44C-4EF0-8F0E-3DAC4458BCF2}" type="CELLRANGE">
                  <a:rPr lang="en-US" sz="950">
                    <a:solidFill>
                      <a:schemeClr val="bg1"/>
                    </a:solidFill>
                  </a:rPr>
                  <a:pPr>
                    <a:defRPr sz="950" b="0" i="0" u="none" strike="noStrike" kern="1200" baseline="0">
                      <a:solidFill>
                        <a:schemeClr val="bg1"/>
                      </a:solidFill>
                      <a:latin typeface="+mn-lt"/>
                      <a:ea typeface="+mn-ea"/>
                      <a:cs typeface="+mn-cs"/>
                    </a:defRPr>
                  </a:pPr>
                  <a:t>[CELLRANGE]</a:t>
                </a:fld>
                <a:endParaRPr lang="en-PK"/>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1.4650956400234163E-2"/>
          <c:y val="0.32847678522943252"/>
          <c:w val="0.64004512925092993"/>
          <c:h val="0.4422033668205268"/>
        </c:manualLayout>
      </c:layout>
      <c:barChart>
        <c:barDir val="bar"/>
        <c:grouping val="clustered"/>
        <c:varyColors val="0"/>
        <c:ser>
          <c:idx val="0"/>
          <c:order val="0"/>
          <c:tx>
            <c:strRef>
              <c:f>'Pivot-Report'!$C$19:$C$20</c:f>
              <c:strCache>
                <c:ptCount val="1"/>
                <c:pt idx="0">
                  <c:v>Count of Patient Admission Flag</c:v>
                </c:pt>
              </c:strCache>
            </c:strRef>
          </c:tx>
          <c:spPr>
            <a:solidFill>
              <a:schemeClr val="bg1"/>
            </a:solidFill>
            <a:ln>
              <a:noFill/>
            </a:ln>
            <a:effectLst/>
          </c:spPr>
          <c:invertIfNegative val="0"/>
          <c:dPt>
            <c:idx val="0"/>
            <c:invertIfNegative val="0"/>
            <c:bubble3D val="0"/>
            <c:extLst>
              <c:ext xmlns:c16="http://schemas.microsoft.com/office/drawing/2014/chart" uri="{C3380CC4-5D6E-409C-BE32-E72D297353CC}">
                <c16:uniqueId val="{00000003-8A15-4DAF-BB89-8A73768F5AD6}"/>
              </c:ext>
            </c:extLst>
          </c:dPt>
          <c:dPt>
            <c:idx val="1"/>
            <c:invertIfNegative val="0"/>
            <c:bubble3D val="0"/>
            <c:extLst>
              <c:ext xmlns:c16="http://schemas.microsoft.com/office/drawing/2014/chart" uri="{C3380CC4-5D6E-409C-BE32-E72D297353CC}">
                <c16:uniqueId val="{00000004-8A15-4DAF-BB89-8A73768F5AD6}"/>
              </c:ext>
            </c:extLst>
          </c:dPt>
          <c:dLbls>
            <c:dLbl>
              <c:idx val="0"/>
              <c:tx>
                <c:rich>
                  <a:bodyPr/>
                  <a:lstStyle/>
                  <a:p>
                    <a:fld id="{355AB464-A08C-43BA-9D67-55C090DE9BD4}" type="CELLRANGE">
                      <a:rPr lang="en-US" sz="1000"/>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A15-4DAF-BB89-8A73768F5AD6}"/>
                </c:ext>
              </c:extLst>
            </c:dLbl>
            <c:dLbl>
              <c:idx val="1"/>
              <c:layout>
                <c:manualLayout>
                  <c:x val="6.0120240480961921E-2"/>
                  <c:y val="0"/>
                </c:manualLayout>
              </c:layout>
              <c:tx>
                <c:rich>
                  <a:bodyPr rot="0" spcFirstLastPara="1" vertOverflow="ellipsis" vert="horz" wrap="none" lIns="38100" tIns="19050" rIns="38100" bIns="19050" anchor="ctr" anchorCtr="1">
                    <a:noAutofit/>
                  </a:bodyPr>
                  <a:lstStyle/>
                  <a:p>
                    <a:pPr>
                      <a:defRPr sz="950" b="0" i="0" u="none" strike="noStrike" kern="1200" baseline="0">
                        <a:solidFill>
                          <a:schemeClr val="bg1"/>
                        </a:solidFill>
                        <a:latin typeface="+mn-lt"/>
                        <a:ea typeface="+mn-ea"/>
                        <a:cs typeface="+mn-cs"/>
                      </a:defRPr>
                    </a:pPr>
                    <a:fld id="{CCE0C9EA-A44C-4EF0-8F0E-3DAC4458BCF2}" type="CELLRANGE">
                      <a:rPr lang="en-US" sz="950">
                        <a:solidFill>
                          <a:schemeClr val="bg1"/>
                        </a:solidFill>
                      </a:rPr>
                      <a:pPr>
                        <a:defRPr sz="950" b="0" i="0" u="none" strike="noStrike" kern="1200" baseline="0">
                          <a:solidFill>
                            <a:schemeClr val="bg1"/>
                          </a:solidFill>
                          <a:latin typeface="+mn-lt"/>
                          <a:ea typeface="+mn-ea"/>
                          <a:cs typeface="+mn-cs"/>
                        </a:defRPr>
                      </a:pPr>
                      <a:t>[CELLRANGE]</a:t>
                    </a:fld>
                    <a:endParaRPr lang="en-PK"/>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4-8A15-4DAF-BB89-8A73768F5AD6}"/>
                </c:ext>
              </c:extLst>
            </c:dLbl>
            <c:spPr>
              <a:noFill/>
              <a:ln>
                <a:noFill/>
              </a:ln>
              <a:effectLst/>
            </c:spPr>
            <c:txPr>
              <a:bodyPr rot="0" spcFirstLastPara="1" vertOverflow="ellipsis" vert="horz" wrap="none" lIns="38100" tIns="19050" rIns="38100" bIns="19050" anchor="ctr" anchorCtr="1">
                <a:spAutoFit/>
              </a:bodyPr>
              <a:lstStyle/>
              <a:p>
                <a:pPr>
                  <a:defRPr sz="950" b="0" i="0" u="none" strike="noStrike" kern="1200" baseline="0">
                    <a:solidFill>
                      <a:schemeClr val="bg1"/>
                    </a:solidFill>
                    <a:latin typeface="+mn-lt"/>
                    <a:ea typeface="+mn-ea"/>
                    <a:cs typeface="+mn-cs"/>
                  </a:defRPr>
                </a:pPr>
                <a:endParaRPr lang="en-PK"/>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'Pivot-Report'!$C$19:$C$20</c:f>
              <c:strCache>
                <c:ptCount val="2"/>
                <c:pt idx="0">
                  <c:v>Admitted</c:v>
                </c:pt>
                <c:pt idx="1">
                  <c:v>Not Admitted</c:v>
                </c:pt>
              </c:strCache>
            </c:strRef>
          </c:cat>
          <c:val>
            <c:numRef>
              <c:f>'Pivot-Report'!$C$19:$C$20</c:f>
              <c:numCache>
                <c:formatCode>0</c:formatCode>
                <c:ptCount val="2"/>
                <c:pt idx="0">
                  <c:v>502</c:v>
                </c:pt>
                <c:pt idx="1">
                  <c:v>450</c:v>
                </c:pt>
              </c:numCache>
            </c:numRef>
          </c:val>
          <c:extLst>
            <c:ext xmlns:c15="http://schemas.microsoft.com/office/drawing/2012/chart" uri="{02D57815-91ED-43cb-92C2-25804820EDAC}">
              <c15:datalabelsRange>
                <c15:f>'Pivot-Report'!$C$19:$C$20</c15:f>
                <c15:dlblRangeCache>
                  <c:ptCount val="2"/>
                  <c:pt idx="0">
                    <c:v>52.73%</c:v>
                  </c:pt>
                  <c:pt idx="1">
                    <c:v>47.27%</c:v>
                  </c:pt>
                </c15:dlblRangeCache>
              </c15:datalabelsRange>
            </c:ext>
            <c:ext xmlns:c16="http://schemas.microsoft.com/office/drawing/2014/chart" uri="{C3380CC4-5D6E-409C-BE32-E72D297353CC}">
              <c16:uniqueId val="{00000000-8A15-4DAF-BB89-8A73768F5AD6}"/>
            </c:ext>
          </c:extLst>
        </c:ser>
        <c:ser>
          <c:idx val="1"/>
          <c:order val="1"/>
          <c:tx>
            <c:strRef>
              <c:f>'Pivot-Report'!$C$19:$C$20</c:f>
              <c:strCache>
                <c:ptCount val="1"/>
                <c:pt idx="0">
                  <c:v>Count of Patient Admission Flag2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'Pivot-Report'!$C$19:$C$20</c:f>
              <c:strCache>
                <c:ptCount val="2"/>
                <c:pt idx="0">
                  <c:v>Admitted</c:v>
                </c:pt>
                <c:pt idx="1">
                  <c:v>Not Admitted</c:v>
                </c:pt>
              </c:strCache>
            </c:strRef>
          </c:cat>
          <c:val>
            <c:numRef>
              <c:f>'Pivot-Report'!$C$19:$C$20</c:f>
              <c:numCache>
                <c:formatCode>0.00%</c:formatCode>
                <c:ptCount val="2"/>
                <c:pt idx="0">
                  <c:v>0.52731092436974791</c:v>
                </c:pt>
                <c:pt idx="1">
                  <c:v>0.47268907563025209</c:v>
                </c:pt>
              </c:numCache>
            </c:numRef>
          </c:val>
          <c:extLst>
            <c:ext xmlns:c16="http://schemas.microsoft.com/office/drawing/2014/chart" uri="{C3380CC4-5D6E-409C-BE32-E72D297353CC}">
              <c16:uniqueId val="{00000001-8A15-4DAF-BB89-8A73768F5AD6}"/>
            </c:ext>
          </c:extLst>
        </c:ser>
        <c:dLbls>
          <c:showLegendKey val="0"/>
          <c:showVal val="0"/>
          <c:showCatName val="0"/>
          <c:showSerName val="0"/>
          <c:showPercent val="0"/>
          <c:showBubbleSize val="0"/>
        </c:dLbls>
        <c:gapWidth val="0"/>
        <c:axId val="430916479"/>
        <c:axId val="430905663"/>
      </c:barChart>
      <c:catAx>
        <c:axId val="430916479"/>
        <c:scaling>
          <c:orientation val="minMax"/>
        </c:scaling>
        <c:delete val="1"/>
        <c:axPos val="l"/>
        <c:numFmt formatCode="General" sourceLinked="1"/>
        <c:majorTickMark val="none"/>
        <c:minorTickMark val="none"/>
        <c:tickLblPos val="nextTo"/>
        <c:crossAx val="430905663"/>
        <c:crosses val="autoZero"/>
        <c:auto val="1"/>
        <c:lblAlgn val="ctr"/>
        <c:lblOffset val="100"/>
        <c:noMultiLvlLbl val="0"/>
      </c:catAx>
      <c:valAx>
        <c:axId val="430905663"/>
        <c:scaling>
          <c:orientation val="minMax"/>
        </c:scaling>
        <c:delete val="1"/>
        <c:axPos val="b"/>
        <c:numFmt formatCode="0" sourceLinked="1"/>
        <c:majorTickMark val="none"/>
        <c:minorTickMark val="none"/>
        <c:tickLblPos val="nextTo"/>
        <c:crossAx val="430916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[Hospital-Room-Analysis-Management-System.xlsx]Pivot-Report!PivotTable4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lt1"/>
          </a:solidFill>
          <a:ln w="12700" cap="flat" cmpd="sng" algn="ctr">
            <a:solidFill>
              <a:sysClr val="windowText" lastClr="000000"/>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668955480091066E-2"/>
          <c:y val="2.0708661417322824E-3"/>
          <c:w val="0.91775700934579441"/>
          <c:h val="0.426157338440803"/>
        </c:manualLayout>
      </c:layout>
      <c:areaChart>
        <c:grouping val="standard"/>
        <c:varyColors val="0"/>
        <c:ser>
          <c:idx val="0"/>
          <c:order val="0"/>
          <c:tx>
            <c:strRef>
              <c:f>'Pivot-Report'!$F$3</c:f>
              <c:strCache>
                <c:ptCount val="1"/>
                <c:pt idx="0">
                  <c:v>Total</c:v>
                </c:pt>
              </c:strCache>
            </c:strRef>
          </c:tx>
          <c:spPr>
            <a:solidFill>
              <a:schemeClr val="lt1"/>
            </a:solidFill>
            <a:ln w="12700" cap="flat" cmpd="sng" algn="ctr">
              <a:solidFill>
                <a:sysClr val="windowText" lastClr="000000"/>
              </a:solidFill>
              <a:prstDash val="solid"/>
              <a:miter lim="800000"/>
            </a:ln>
            <a:effectLst/>
          </c:spPr>
          <c:cat>
            <c:multiLvlStrRef>
              <c:f>'Pivot-Report'!$E$4:$E$36</c:f>
              <c:multiLvlStrCache>
                <c:ptCount val="31"/>
                <c:lvl>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lvl>
                <c:lvl>
                  <c:pt idx="0">
                    <c:v>Jul</c:v>
                  </c:pt>
                </c:lvl>
              </c:multiLvlStrCache>
            </c:multiLvlStrRef>
          </c:cat>
          <c:val>
            <c:numRef>
              <c:f>'Pivot-Report'!$F$4:$F$36</c:f>
              <c:numCache>
                <c:formatCode>General</c:formatCode>
                <c:ptCount val="31"/>
                <c:pt idx="0">
                  <c:v>32</c:v>
                </c:pt>
                <c:pt idx="1">
                  <c:v>28</c:v>
                </c:pt>
                <c:pt idx="2">
                  <c:v>28</c:v>
                </c:pt>
                <c:pt idx="3">
                  <c:v>25</c:v>
                </c:pt>
                <c:pt idx="4">
                  <c:v>23</c:v>
                </c:pt>
                <c:pt idx="5">
                  <c:v>22</c:v>
                </c:pt>
                <c:pt idx="6">
                  <c:v>33</c:v>
                </c:pt>
                <c:pt idx="7">
                  <c:v>31</c:v>
                </c:pt>
                <c:pt idx="8">
                  <c:v>35</c:v>
                </c:pt>
                <c:pt idx="9">
                  <c:v>30</c:v>
                </c:pt>
                <c:pt idx="10">
                  <c:v>32</c:v>
                </c:pt>
                <c:pt idx="11">
                  <c:v>39</c:v>
                </c:pt>
                <c:pt idx="12">
                  <c:v>39</c:v>
                </c:pt>
                <c:pt idx="13">
                  <c:v>30</c:v>
                </c:pt>
                <c:pt idx="14">
                  <c:v>29</c:v>
                </c:pt>
                <c:pt idx="15">
                  <c:v>34</c:v>
                </c:pt>
                <c:pt idx="16">
                  <c:v>30</c:v>
                </c:pt>
                <c:pt idx="17">
                  <c:v>28</c:v>
                </c:pt>
                <c:pt idx="18">
                  <c:v>33</c:v>
                </c:pt>
                <c:pt idx="19">
                  <c:v>30</c:v>
                </c:pt>
                <c:pt idx="20">
                  <c:v>31</c:v>
                </c:pt>
                <c:pt idx="21">
                  <c:v>27</c:v>
                </c:pt>
                <c:pt idx="22">
                  <c:v>32</c:v>
                </c:pt>
                <c:pt idx="23">
                  <c:v>29</c:v>
                </c:pt>
                <c:pt idx="24">
                  <c:v>29</c:v>
                </c:pt>
                <c:pt idx="25">
                  <c:v>29</c:v>
                </c:pt>
                <c:pt idx="26">
                  <c:v>30</c:v>
                </c:pt>
                <c:pt idx="27">
                  <c:v>32</c:v>
                </c:pt>
                <c:pt idx="28">
                  <c:v>39</c:v>
                </c:pt>
                <c:pt idx="29">
                  <c:v>32</c:v>
                </c:pt>
                <c:pt idx="30">
                  <c:v>31</c:v>
                </c:pt>
              </c:numCache>
            </c:numRef>
          </c:val>
          <c:extLst>
            <c:ext xmlns:c16="http://schemas.microsoft.com/office/drawing/2014/chart" uri="{C3380CC4-5D6E-409C-BE32-E72D297353CC}">
              <c16:uniqueId val="{00000000-DA58-4A2D-9612-F0DC593DA392}"/>
            </c:ext>
          </c:extLst>
        </c:ser>
        <c:dLbls>
          <c:showLegendKey val="0"/>
          <c:showVal val="0"/>
          <c:showCatName val="0"/>
          <c:showSerName val="0"/>
          <c:showPercent val="0"/>
          <c:showBubbleSize val="0"/>
        </c:dLbls>
        <c:axId val="2107297296"/>
        <c:axId val="2107298960"/>
      </c:areaChart>
      <c:catAx>
        <c:axId val="2107297296"/>
        <c:scaling>
          <c:orientation val="minMax"/>
        </c:scaling>
        <c:delete val="1"/>
        <c:axPos val="b"/>
        <c:numFmt formatCode="General" sourceLinked="1"/>
        <c:majorTickMark val="out"/>
        <c:minorTickMark val="none"/>
        <c:tickLblPos val="nextTo"/>
        <c:crossAx val="2107298960"/>
        <c:crosses val="autoZero"/>
        <c:auto val="1"/>
        <c:lblAlgn val="ctr"/>
        <c:lblOffset val="100"/>
        <c:noMultiLvlLbl val="0"/>
      </c:catAx>
      <c:valAx>
        <c:axId val="2107298960"/>
        <c:scaling>
          <c:orientation val="minMax"/>
        </c:scaling>
        <c:delete val="1"/>
        <c:axPos val="l"/>
        <c:numFmt formatCode="General" sourceLinked="1"/>
        <c:majorTickMark val="none"/>
        <c:minorTickMark val="none"/>
        <c:tickLblPos val="nextTo"/>
        <c:crossAx val="21072972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800"/>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[Hospital-Room-Analysis-Management-System.xlsx]Pivot-Report!PivotTable5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lt1"/>
          </a:solidFill>
          <a:ln w="12700" cap="flat" cmpd="sng" algn="ctr">
            <a:solidFill>
              <a:schemeClr val="dk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'Pivot-Report'!$J$3</c:f>
              <c:strCache>
                <c:ptCount val="1"/>
                <c:pt idx="0">
                  <c:v>Total</c:v>
                </c:pt>
              </c:strCache>
            </c:strRef>
          </c:tx>
          <c:spPr>
            <a:solidFill>
              <a:schemeClr val="lt1"/>
            </a:solidFill>
            <a:ln w="12700" cap="flat" cmpd="sng" algn="ctr">
              <a:solidFill>
                <a:schemeClr val="dk1"/>
              </a:solidFill>
              <a:prstDash val="solid"/>
              <a:miter lim="800000"/>
            </a:ln>
            <a:effectLst/>
          </c:spPr>
          <c:cat>
            <c:multiLvlStrRef>
              <c:f>'Pivot-Report'!$I$4:$I$36</c:f>
              <c:multiLvlStrCache>
                <c:ptCount val="31"/>
                <c:lvl>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lvl>
                <c:lvl>
                  <c:pt idx="0">
                    <c:v>Jul</c:v>
                  </c:pt>
                </c:lvl>
              </c:multiLvlStrCache>
            </c:multiLvlStrRef>
          </c:cat>
          <c:val>
            <c:numRef>
              <c:f>'Pivot-Report'!$J$4:$J$36</c:f>
              <c:numCache>
                <c:formatCode>0.00</c:formatCode>
                <c:ptCount val="31"/>
                <c:pt idx="0">
                  <c:v>37.53125</c:v>
                </c:pt>
                <c:pt idx="1">
                  <c:v>31.357142857142858</c:v>
                </c:pt>
                <c:pt idx="2">
                  <c:v>35.285714285714285</c:v>
                </c:pt>
                <c:pt idx="3">
                  <c:v>34</c:v>
                </c:pt>
                <c:pt idx="4">
                  <c:v>28.391304347826086</c:v>
                </c:pt>
                <c:pt idx="5">
                  <c:v>36.545454545454547</c:v>
                </c:pt>
                <c:pt idx="6">
                  <c:v>33.939393939393938</c:v>
                </c:pt>
                <c:pt idx="7">
                  <c:v>38.516129032258064</c:v>
                </c:pt>
                <c:pt idx="8">
                  <c:v>34.74285714285714</c:v>
                </c:pt>
                <c:pt idx="9">
                  <c:v>34.5</c:v>
                </c:pt>
                <c:pt idx="10">
                  <c:v>31.65625</c:v>
                </c:pt>
                <c:pt idx="11">
                  <c:v>37.384615384615387</c:v>
                </c:pt>
                <c:pt idx="12">
                  <c:v>36.205128205128204</c:v>
                </c:pt>
                <c:pt idx="13">
                  <c:v>35.6</c:v>
                </c:pt>
                <c:pt idx="14">
                  <c:v>31.068965517241381</c:v>
                </c:pt>
                <c:pt idx="15">
                  <c:v>33</c:v>
                </c:pt>
                <c:pt idx="16">
                  <c:v>36.233333333333334</c:v>
                </c:pt>
                <c:pt idx="17">
                  <c:v>37.142857142857146</c:v>
                </c:pt>
                <c:pt idx="18">
                  <c:v>34.666666666666664</c:v>
                </c:pt>
                <c:pt idx="19">
                  <c:v>36.033333333333331</c:v>
                </c:pt>
                <c:pt idx="20">
                  <c:v>33.838709677419352</c:v>
                </c:pt>
                <c:pt idx="21">
                  <c:v>34.592592592592595</c:v>
                </c:pt>
                <c:pt idx="22">
                  <c:v>34.4375</c:v>
                </c:pt>
                <c:pt idx="23">
                  <c:v>36.172413793103445</c:v>
                </c:pt>
                <c:pt idx="24">
                  <c:v>34.758620689655174</c:v>
                </c:pt>
                <c:pt idx="25">
                  <c:v>37.241379310344826</c:v>
                </c:pt>
                <c:pt idx="26">
                  <c:v>33.9</c:v>
                </c:pt>
                <c:pt idx="27">
                  <c:v>35.4375</c:v>
                </c:pt>
                <c:pt idx="28">
                  <c:v>36.820512820512818</c:v>
                </c:pt>
                <c:pt idx="29">
                  <c:v>31.3125</c:v>
                </c:pt>
                <c:pt idx="30">
                  <c:v>39.064516129032256</c:v>
                </c:pt>
              </c:numCache>
            </c:numRef>
          </c:val>
          <c:extLst>
            <c:ext xmlns:c16="http://schemas.microsoft.com/office/drawing/2014/chart" uri="{C3380CC4-5D6E-409C-BE32-E72D297353CC}">
              <c16:uniqueId val="{00000000-8DD6-4A56-B4E4-3429ADDBE54E}"/>
            </c:ext>
          </c:extLst>
        </c:ser>
        <c:dLbls>
          <c:showLegendKey val="0"/>
          <c:showVal val="0"/>
          <c:showCatName val="0"/>
          <c:showSerName val="0"/>
          <c:showPercent val="0"/>
          <c:showBubbleSize val="0"/>
        </c:dLbls>
        <c:axId val="1390196000"/>
        <c:axId val="1390198080"/>
      </c:areaChart>
      <c:catAx>
        <c:axId val="1390196000"/>
        <c:scaling>
          <c:orientation val="minMax"/>
        </c:scaling>
        <c:delete val="1"/>
        <c:axPos val="b"/>
        <c:numFmt formatCode="General" sourceLinked="1"/>
        <c:majorTickMark val="out"/>
        <c:minorTickMark val="none"/>
        <c:tickLblPos val="nextTo"/>
        <c:crossAx val="1390198080"/>
        <c:crosses val="autoZero"/>
        <c:auto val="1"/>
        <c:lblAlgn val="ctr"/>
        <c:lblOffset val="100"/>
        <c:noMultiLvlLbl val="0"/>
      </c:catAx>
      <c:valAx>
        <c:axId val="1390198080"/>
        <c:scaling>
          <c:orientation val="minMax"/>
        </c:scaling>
        <c:delete val="1"/>
        <c:axPos val="l"/>
        <c:numFmt formatCode="0.00" sourceLinked="1"/>
        <c:majorTickMark val="none"/>
        <c:minorTickMark val="none"/>
        <c:tickLblPos val="nextTo"/>
        <c:crossAx val="139019600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[Hospital-Room-Analysis-Management-System.xlsx]Pivot-Report!PivotTable6</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lt1"/>
          </a:solidFill>
          <a:ln w="12700" cap="flat" cmpd="sng" algn="ctr">
            <a:solidFill>
              <a:schemeClr val="dk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620967883288445E-2"/>
          <c:y val="2.3550748153491539E-2"/>
          <c:w val="0.83675806423342314"/>
          <c:h val="0.71739102215810158"/>
        </c:manualLayout>
      </c:layout>
      <c:areaChart>
        <c:grouping val="standard"/>
        <c:varyColors val="0"/>
        <c:ser>
          <c:idx val="0"/>
          <c:order val="0"/>
          <c:tx>
            <c:strRef>
              <c:f>'Pivot-Report'!$M$3</c:f>
              <c:strCache>
                <c:ptCount val="1"/>
                <c:pt idx="0">
                  <c:v>Total</c:v>
                </c:pt>
              </c:strCache>
            </c:strRef>
          </c:tx>
          <c:spPr>
            <a:solidFill>
              <a:schemeClr val="lt1"/>
            </a:solidFill>
            <a:ln w="12700" cap="flat" cmpd="sng" algn="ctr">
              <a:solidFill>
                <a:schemeClr val="dk1"/>
              </a:solidFill>
              <a:prstDash val="solid"/>
              <a:miter lim="800000"/>
            </a:ln>
            <a:effectLst/>
          </c:spPr>
          <c:cat>
            <c:multiLvlStrRef>
              <c:f>'Pivot-Report'!$L$4:$L$36</c:f>
              <c:multiLvlStrCache>
                <c:ptCount val="31"/>
                <c:lvl>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lvl>
                <c:lvl>
                  <c:pt idx="0">
                    <c:v>Jul</c:v>
                  </c:pt>
                </c:lvl>
              </c:multiLvlStrCache>
            </c:multiLvlStrRef>
          </c:cat>
          <c:val>
            <c:numRef>
              <c:f>'Pivot-Report'!$M$4:$M$36</c:f>
              <c:numCache>
                <c:formatCode>0.00</c:formatCode>
                <c:ptCount val="31"/>
                <c:pt idx="0">
                  <c:v>3.7</c:v>
                </c:pt>
                <c:pt idx="1">
                  <c:v>5.8</c:v>
                </c:pt>
                <c:pt idx="2">
                  <c:v>4</c:v>
                </c:pt>
                <c:pt idx="3">
                  <c:v>2</c:v>
                </c:pt>
                <c:pt idx="4">
                  <c:v>6</c:v>
                </c:pt>
                <c:pt idx="5">
                  <c:v>5</c:v>
                </c:pt>
                <c:pt idx="6">
                  <c:v>5.1111111111111107</c:v>
                </c:pt>
                <c:pt idx="7">
                  <c:v>3.8571428571428572</c:v>
                </c:pt>
                <c:pt idx="8">
                  <c:v>6.5714285714285712</c:v>
                </c:pt>
                <c:pt idx="9">
                  <c:v>5.2857142857142856</c:v>
                </c:pt>
                <c:pt idx="10">
                  <c:v>5.5</c:v>
                </c:pt>
                <c:pt idx="11">
                  <c:v>4.8181818181818183</c:v>
                </c:pt>
                <c:pt idx="12">
                  <c:v>5</c:v>
                </c:pt>
                <c:pt idx="13">
                  <c:v>3.2222222222222223</c:v>
                </c:pt>
                <c:pt idx="14">
                  <c:v>6.333333333333333</c:v>
                </c:pt>
                <c:pt idx="15">
                  <c:v>3.8</c:v>
                </c:pt>
                <c:pt idx="16">
                  <c:v>3.1111111111111112</c:v>
                </c:pt>
                <c:pt idx="17">
                  <c:v>2.8333333333333335</c:v>
                </c:pt>
                <c:pt idx="18">
                  <c:v>6.625</c:v>
                </c:pt>
                <c:pt idx="19">
                  <c:v>3.5</c:v>
                </c:pt>
                <c:pt idx="20">
                  <c:v>5.166666666666667</c:v>
                </c:pt>
                <c:pt idx="21">
                  <c:v>5.333333333333333</c:v>
                </c:pt>
                <c:pt idx="22">
                  <c:v>4.875</c:v>
                </c:pt>
                <c:pt idx="23">
                  <c:v>4.5</c:v>
                </c:pt>
                <c:pt idx="24">
                  <c:v>4.625</c:v>
                </c:pt>
                <c:pt idx="25">
                  <c:v>5</c:v>
                </c:pt>
                <c:pt idx="26">
                  <c:v>6.8181818181818183</c:v>
                </c:pt>
                <c:pt idx="27">
                  <c:v>6.375</c:v>
                </c:pt>
                <c:pt idx="28">
                  <c:v>4.615384615384615</c:v>
                </c:pt>
                <c:pt idx="29">
                  <c:v>5.5454545454545459</c:v>
                </c:pt>
                <c:pt idx="30">
                  <c:v>6.9090909090909092</c:v>
                </c:pt>
              </c:numCache>
            </c:numRef>
          </c:val>
          <c:extLst>
            <c:ext xmlns:c16="http://schemas.microsoft.com/office/drawing/2014/chart" uri="{C3380CC4-5D6E-409C-BE32-E72D297353CC}">
              <c16:uniqueId val="{00000000-CDE0-4914-A308-2F4A69D577F5}"/>
            </c:ext>
          </c:extLst>
        </c:ser>
        <c:dLbls>
          <c:showLegendKey val="0"/>
          <c:showVal val="0"/>
          <c:showCatName val="0"/>
          <c:showSerName val="0"/>
          <c:showPercent val="0"/>
          <c:showBubbleSize val="0"/>
        </c:dLbls>
        <c:axId val="310796336"/>
        <c:axId val="310795504"/>
      </c:areaChart>
      <c:catAx>
        <c:axId val="310796336"/>
        <c:scaling>
          <c:orientation val="minMax"/>
        </c:scaling>
        <c:delete val="1"/>
        <c:axPos val="b"/>
        <c:numFmt formatCode="General" sourceLinked="1"/>
        <c:majorTickMark val="out"/>
        <c:minorTickMark val="none"/>
        <c:tickLblPos val="nextTo"/>
        <c:crossAx val="310795504"/>
        <c:crosses val="autoZero"/>
        <c:auto val="1"/>
        <c:lblAlgn val="ctr"/>
        <c:lblOffset val="100"/>
        <c:noMultiLvlLbl val="0"/>
      </c:catAx>
      <c:valAx>
        <c:axId val="310795504"/>
        <c:scaling>
          <c:orientation val="minMax"/>
        </c:scaling>
        <c:delete val="1"/>
        <c:axPos val="l"/>
        <c:numFmt formatCode="0.00" sourceLinked="1"/>
        <c:majorTickMark val="none"/>
        <c:minorTickMark val="none"/>
        <c:tickLblPos val="nextTo"/>
        <c:crossAx val="31079633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[Hospital-Room-Analysis-Management-System.xlsx]Pivot-Report!PivotTable8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lt1"/>
          </a:solidFill>
          <a:ln w="12700" cap="flat" cmpd="sng" algn="ctr">
            <a:solidFill>
              <a:schemeClr val="dk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9023195787473E-2"/>
          <c:y val="0.11168503556178343"/>
          <c:w val="0.93219536084250543"/>
          <c:h val="0.69369825984118938"/>
        </c:manualLayout>
      </c:layout>
      <c:barChart>
        <c:barDir val="col"/>
        <c:grouping val="clustered"/>
        <c:varyColors val="0"/>
        <c:ser>
          <c:idx val="0"/>
          <c:order val="0"/>
          <c:tx>
            <c:strRef>
              <c:f>'Pivot-Report'!$B$29</c:f>
              <c:strCache>
                <c:ptCount val="1"/>
                <c:pt idx="0">
                  <c:v>Total</c:v>
                </c:pt>
              </c:strCache>
            </c:strRef>
          </c:tx>
          <c:spPr>
            <a:solidFill>
              <a:schemeClr val="lt1"/>
            </a:solidFill>
            <a:ln w="12700" cap="flat" cmpd="sng" algn="ctr">
              <a:solidFill>
                <a:schemeClr val="dk1"/>
              </a:solidFill>
              <a:prstDash val="solid"/>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'Pivot-Report'!$A$30:$A$38</c:f>
              <c:strCache>
                <c:ptCount val="8"/>
                <c:pt idx="0">
                  <c:v>0-9</c:v>
                </c:pt>
                <c:pt idx="1">
                  <c:v>10-19</c:v>
                </c:pt>
                <c:pt idx="2">
                  <c:v>20-29</c:v>
                </c:pt>
                <c:pt idx="3">
                  <c:v>30-39</c:v>
                </c:pt>
                <c:pt idx="4">
                  <c:v>40-49</c:v>
                </c:pt>
                <c:pt idx="5">
                  <c:v>50-59</c:v>
                </c:pt>
                <c:pt idx="6">
                  <c:v>60-69</c:v>
                </c:pt>
                <c:pt idx="7">
                  <c:v>70-79</c:v>
                </c:pt>
              </c:strCache>
            </c:strRef>
          </c:cat>
          <c:val>
            <c:numRef>
              <c:f>'Pivot-Report'!$B$30:$B$38</c:f>
              <c:numCache>
                <c:formatCode>0</c:formatCode>
                <c:ptCount val="8"/>
                <c:pt idx="0">
                  <c:v>123</c:v>
                </c:pt>
                <c:pt idx="1">
                  <c:v>126</c:v>
                </c:pt>
                <c:pt idx="2">
                  <c:v>120</c:v>
                </c:pt>
                <c:pt idx="3">
                  <c:v>103</c:v>
                </c:pt>
                <c:pt idx="4">
                  <c:v>135</c:v>
                </c:pt>
                <c:pt idx="5">
                  <c:v>134</c:v>
                </c:pt>
                <c:pt idx="6">
                  <c:v>96</c:v>
                </c:pt>
                <c:pt idx="7">
                  <c:v>115</c:v>
                </c:pt>
              </c:numCache>
            </c:numRef>
          </c:val>
          <c:extLst>
            <c:ext xmlns:c16="http://schemas.microsoft.com/office/drawing/2014/chart" uri="{C3380CC4-5D6E-409C-BE32-E72D297353CC}">
              <c16:uniqueId val="{00000000-9233-4A87-8ABF-735EC6F481AD}"/>
            </c:ext>
          </c:extLst>
        </c:ser>
        <c:dLbls>
          <c:showLegendKey val="0"/>
          <c:showVal val="0"/>
          <c:showCatName val="0"/>
          <c:showSerName val="0"/>
          <c:showPercent val="0"/>
          <c:showBubbleSize val="0"/>
        </c:dLbls>
        <c:gapWidth val="219"/>
        <c:overlap val="-27"/>
        <c:axId val="1720322448"/>
        <c:axId val="1720324112"/>
      </c:barChart>
      <c:catAx>
        <c:axId val="172032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crossAx val="1720324112"/>
        <c:crosses val="autoZero"/>
        <c:auto val="1"/>
        <c:lblAlgn val="ctr"/>
        <c:lblOffset val="100"/>
        <c:noMultiLvlLbl val="0"/>
      </c:catAx>
      <c:valAx>
        <c:axId val="1720324112"/>
        <c:scaling>
          <c:orientation val="minMax"/>
        </c:scaling>
        <c:delete val="1"/>
        <c:axPos val="l"/>
        <c:numFmt formatCode="0" sourceLinked="1"/>
        <c:majorTickMark val="none"/>
        <c:minorTickMark val="none"/>
        <c:tickLblPos val="nextTo"/>
        <c:crossAx val="1720322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[Hospital-Room-Analysis-Management-System.xlsx]Pivot-Report!PivotTable9</c:name>
    <c:fmtId val="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2044289752421586"/>
          <c:y val="0.2271097183987254"/>
          <c:w val="0.56274381593058653"/>
          <c:h val="0.62552776005555188"/>
        </c:manualLayout>
      </c:layout>
      <c:pieChart>
        <c:varyColors val="1"/>
        <c:ser>
          <c:idx val="0"/>
          <c:order val="0"/>
          <c:tx>
            <c:strRef>
              <c:f>'Pivot-Report'!$B$42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91D-4B83-B0BC-E164529AD79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91D-4B83-B0BC-E164529AD7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'Pivot-Report'!$A$43:$A$45</c:f>
              <c:strCache>
                <c:ptCount val="2"/>
                <c:pt idx="0">
                  <c:v>Delay</c:v>
                </c:pt>
                <c:pt idx="1">
                  <c:v>Ontime</c:v>
                </c:pt>
              </c:strCache>
            </c:strRef>
          </c:cat>
          <c:val>
            <c:numRef>
              <c:f>'Pivot-Report'!$B$43:$B$45</c:f>
              <c:numCache>
                <c:formatCode>0</c:formatCode>
                <c:ptCount val="2"/>
                <c:pt idx="0">
                  <c:v>555</c:v>
                </c:pt>
                <c:pt idx="1">
                  <c:v>397</c:v>
                </c:pt>
              </c:numCache>
            </c:numRef>
          </c:val>
          <c:extLst>
            <c:ext xmlns:c16="http://schemas.microsoft.com/office/drawing/2014/chart" uri="{C3380CC4-5D6E-409C-BE32-E72D297353CC}">
              <c16:uniqueId val="{00000004-C91D-4B83-B0BC-E164529AD79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9950042904627422E-2"/>
          <c:y val="6.8228650788335524E-2"/>
          <c:w val="0.76229060607463561"/>
          <c:h val="0.1258037567985787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[Hospital-Room-Analysis-Management-System.xlsx]Pivot-Report!PivotTable10</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768024648247756"/>
          <c:y val="0.20941608545075832"/>
          <c:w val="0.64792251831449321"/>
          <c:h val="0.69209903081568758"/>
        </c:manualLayout>
      </c:layout>
      <c:doughnutChart>
        <c:varyColors val="1"/>
        <c:ser>
          <c:idx val="0"/>
          <c:order val="0"/>
          <c:tx>
            <c:strRef>
              <c:f>'Pivot-Report'!$B$48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EB2-4C0C-BD25-12EE308D869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EB2-4C0C-BD25-12EE308D86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'Pivot-Report'!$A$49:$A$51</c:f>
              <c:strCache>
                <c:ptCount val="2"/>
                <c:pt idx="0">
                  <c:v>Female</c:v>
                </c:pt>
                <c:pt idx="1">
                  <c:v>Male</c:v>
                </c:pt>
              </c:strCache>
            </c:strRef>
          </c:cat>
          <c:val>
            <c:numRef>
              <c:f>'Pivot-Report'!$B$49:$B$51</c:f>
              <c:numCache>
                <c:formatCode>0.00</c:formatCode>
                <c:ptCount val="2"/>
                <c:pt idx="0">
                  <c:v>460</c:v>
                </c:pt>
                <c:pt idx="1">
                  <c:v>492</c:v>
                </c:pt>
              </c:numCache>
            </c:numRef>
          </c:val>
          <c:extLst>
            <c:ext xmlns:c16="http://schemas.microsoft.com/office/drawing/2014/chart" uri="{C3380CC4-5D6E-409C-BE32-E72D297353CC}">
              <c16:uniqueId val="{00000004-BEB2-4C0C-BD25-12EE308D869E}"/>
            </c:ext>
          </c:extLst>
        </c:ser>
        <c:dLbls>
          <c:showLegendKey val="0"/>
          <c:showVal val="0"/>
          <c:showCatName val="0"/>
          <c:showSerName val="0"/>
          <c:showPercent val="1"/>
          <c:showBubbleSize val="0"/>
          <c:showLeaderLines val="1"/>
        </c:dLbls>
        <c:firstSliceAng val="0"/>
        <c:holeSize val="38"/>
      </c:doughnutChart>
      <c:spPr>
        <a:noFill/>
        <a:ln>
          <a:noFill/>
        </a:ln>
        <a:effectLst/>
      </c:spPr>
    </c:plotArea>
    <c:legend>
      <c:legendPos val="r"/>
      <c:layout>
        <c:manualLayout>
          <c:xMode val="edge"/>
          <c:yMode val="edge"/>
          <c:x val="4.9946967645545133E-4"/>
          <c:y val="2.4820517115432039E-2"/>
          <c:w val="0.85878075676915722"/>
          <c:h val="0.1857967737282654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[Hospital-Room-Analysis-Management-System.xlsx]Pivot-Report!PivotTable11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lt1"/>
          </a:solidFill>
          <a:ln w="12700" cap="flat" cmpd="sng" algn="ctr">
            <a:solidFill>
              <a:schemeClr val="dk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'Pivot-Report'!$E$48</c:f>
              <c:strCache>
                <c:ptCount val="1"/>
                <c:pt idx="0">
                  <c:v>Total</c:v>
                </c:pt>
              </c:strCache>
            </c:strRef>
          </c:tx>
          <c:spPr>
            <a:solidFill>
              <a:schemeClr val="lt1"/>
            </a:solidFill>
            <a:ln w="12700" cap="flat" cmpd="sng" algn="ctr">
              <a:solidFill>
                <a:schemeClr val="dk1"/>
              </a:solidFill>
              <a:prstDash val="solid"/>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'Pivot-Report'!$D$49:$D$57</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'Pivot-Report'!$E$49:$E$57</c:f>
              <c:numCache>
                <c:formatCode>0</c:formatCode>
                <c:ptCount val="8"/>
                <c:pt idx="0">
                  <c:v>7</c:v>
                </c:pt>
                <c:pt idx="1">
                  <c:v>16</c:v>
                </c:pt>
                <c:pt idx="2">
                  <c:v>19</c:v>
                </c:pt>
                <c:pt idx="3">
                  <c:v>23</c:v>
                </c:pt>
                <c:pt idx="4">
                  <c:v>23</c:v>
                </c:pt>
                <c:pt idx="5">
                  <c:v>114</c:v>
                </c:pt>
                <c:pt idx="6">
                  <c:v>180</c:v>
                </c:pt>
                <c:pt idx="7">
                  <c:v>570</c:v>
                </c:pt>
              </c:numCache>
            </c:numRef>
          </c:val>
          <c:extLst>
            <c:ext xmlns:c16="http://schemas.microsoft.com/office/drawing/2014/chart" uri="{C3380CC4-5D6E-409C-BE32-E72D297353CC}">
              <c16:uniqueId val="{00000000-5081-45EB-8553-61AFB9C66FF8}"/>
            </c:ext>
          </c:extLst>
        </c:ser>
        <c:dLbls>
          <c:showLegendKey val="0"/>
          <c:showVal val="0"/>
          <c:showCatName val="0"/>
          <c:showSerName val="0"/>
          <c:showPercent val="0"/>
          <c:showBubbleSize val="0"/>
        </c:dLbls>
        <c:gapWidth val="17"/>
        <c:axId val="1720323696"/>
        <c:axId val="1720322448"/>
      </c:barChart>
      <c:catAx>
        <c:axId val="172032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PK"/>
          </a:p>
        </c:txPr>
        <c:crossAx val="1720322448"/>
        <c:crosses val="autoZero"/>
        <c:auto val="1"/>
        <c:lblAlgn val="ctr"/>
        <c:lblOffset val="100"/>
        <c:noMultiLvlLbl val="0"/>
      </c:catAx>
      <c:valAx>
        <c:axId val="1720322448"/>
        <c:scaling>
          <c:orientation val="minMax"/>
        </c:scaling>
        <c:delete val="1"/>
        <c:axPos val="b"/>
        <c:numFmt formatCode="0" sourceLinked="1"/>
        <c:majorTickMark val="none"/>
        <c:minorTickMark val="none"/>
        <c:tickLblPos val="nextTo"/>
        <c:crossAx val="1720323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[Hospital-Room-Analysis-Management-System.xlsx]Pivot-Report!PivotTable4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'Pivot-Report'!$F$3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'Pivot-Report'!$E$4:$E$36</c:f>
              <c:multiLvlStrCache>
                <c:ptCount val="31"/>
                <c:lvl>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lvl>
                <c:lvl>
                  <c:pt idx="0">
                    <c:v>Jul</c:v>
                  </c:pt>
                </c:lvl>
              </c:multiLvlStrCache>
            </c:multiLvlStrRef>
          </c:cat>
          <c:val>
            <c:numRef>
              <c:f>'Pivot-Report'!$F$4:$F$36</c:f>
              <c:numCache>
                <c:formatCode>General</c:formatCode>
                <c:ptCount val="31"/>
                <c:pt idx="0">
                  <c:v>32</c:v>
                </c:pt>
                <c:pt idx="1">
                  <c:v>28</c:v>
                </c:pt>
                <c:pt idx="2">
                  <c:v>28</c:v>
                </c:pt>
                <c:pt idx="3">
                  <c:v>25</c:v>
                </c:pt>
                <c:pt idx="4">
                  <c:v>23</c:v>
                </c:pt>
                <c:pt idx="5">
                  <c:v>22</c:v>
                </c:pt>
                <c:pt idx="6">
                  <c:v>33</c:v>
                </c:pt>
                <c:pt idx="7">
                  <c:v>31</c:v>
                </c:pt>
                <c:pt idx="8">
                  <c:v>35</c:v>
                </c:pt>
                <c:pt idx="9">
                  <c:v>30</c:v>
                </c:pt>
                <c:pt idx="10">
                  <c:v>32</c:v>
                </c:pt>
                <c:pt idx="11">
                  <c:v>39</c:v>
                </c:pt>
                <c:pt idx="12">
                  <c:v>39</c:v>
                </c:pt>
                <c:pt idx="13">
                  <c:v>30</c:v>
                </c:pt>
                <c:pt idx="14">
                  <c:v>29</c:v>
                </c:pt>
                <c:pt idx="15">
                  <c:v>34</c:v>
                </c:pt>
                <c:pt idx="16">
                  <c:v>30</c:v>
                </c:pt>
                <c:pt idx="17">
                  <c:v>28</c:v>
                </c:pt>
                <c:pt idx="18">
                  <c:v>33</c:v>
                </c:pt>
                <c:pt idx="19">
                  <c:v>30</c:v>
                </c:pt>
                <c:pt idx="20">
                  <c:v>31</c:v>
                </c:pt>
                <c:pt idx="21">
                  <c:v>27</c:v>
                </c:pt>
                <c:pt idx="22">
                  <c:v>32</c:v>
                </c:pt>
                <c:pt idx="23">
                  <c:v>29</c:v>
                </c:pt>
                <c:pt idx="24">
                  <c:v>29</c:v>
                </c:pt>
                <c:pt idx="25">
                  <c:v>29</c:v>
                </c:pt>
                <c:pt idx="26">
                  <c:v>30</c:v>
                </c:pt>
                <c:pt idx="27">
                  <c:v>32</c:v>
                </c:pt>
                <c:pt idx="28">
                  <c:v>39</c:v>
                </c:pt>
                <c:pt idx="29">
                  <c:v>32</c:v>
                </c:pt>
                <c:pt idx="30">
                  <c:v>31</c:v>
                </c:pt>
              </c:numCache>
            </c:numRef>
          </c:val>
          <c:extLst>
            <c:ext xmlns:c16="http://schemas.microsoft.com/office/drawing/2014/chart" uri="{C3380CC4-5D6E-409C-BE32-E72D297353CC}">
              <c16:uniqueId val="{00000000-3D3A-4537-830C-621265C08BB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71177744"/>
        <c:axId val="271176912"/>
      </c:areaChart>
      <c:catAx>
        <c:axId val="27117774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PK"/>
          </a:p>
        </c:txPr>
        <c:crossAx val="271176912"/>
        <c:crosses val="autoZero"/>
        <c:auto val="1"/>
        <c:lblAlgn val="ctr"/>
        <c:lblOffset val="100"/>
        <c:noMultiLvlLbl val="0"/>
      </c:catAx>
      <c:valAx>
        <c:axId val="271176912"/>
        <c:scaling>
          <c:orientation val="minMax"/>
        </c:scaling>
        <c:delete val="1"/>
        <c:axPos val="l"/>
        <c:numFmt formatCode="General" sourceLinked="1"/>
        <c:majorTickMark val="out"/>
        <c:minorTickMark val="none"/>
        <c:tickLblPos val="nextTo"/>
        <c:crossAx val="2711777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sz="1050" i="0"/>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[Hospital-Room-Analysis-Management-System.xlsx]Pivot-Report!PivotTable5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625174131137921E-3"/>
          <c:y val="2.4044324861402375E-2"/>
          <c:w val="0.98531932511852871"/>
          <c:h val="0.86182267417577829"/>
        </c:manualLayout>
      </c:layout>
      <c:areaChart>
        <c:grouping val="standard"/>
        <c:varyColors val="0"/>
        <c:ser>
          <c:idx val="0"/>
          <c:order val="0"/>
          <c:tx>
            <c:strRef>
              <c:f>'Pivot-Report'!$J$3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'Pivot-Report'!$I$4:$I$36</c:f>
              <c:multiLvlStrCache>
                <c:ptCount val="31"/>
                <c:lvl>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lvl>
                <c:lvl>
                  <c:pt idx="0">
                    <c:v>Jul</c:v>
                  </c:pt>
                </c:lvl>
              </c:multiLvlStrCache>
            </c:multiLvlStrRef>
          </c:cat>
          <c:val>
            <c:numRef>
              <c:f>'Pivot-Report'!$J$4:$J$36</c:f>
              <c:numCache>
                <c:formatCode>0.00</c:formatCode>
                <c:ptCount val="31"/>
                <c:pt idx="0">
                  <c:v>37.53125</c:v>
                </c:pt>
                <c:pt idx="1">
                  <c:v>31.357142857142858</c:v>
                </c:pt>
                <c:pt idx="2">
                  <c:v>35.285714285714285</c:v>
                </c:pt>
                <c:pt idx="3">
                  <c:v>34</c:v>
                </c:pt>
                <c:pt idx="4">
                  <c:v>28.391304347826086</c:v>
                </c:pt>
                <c:pt idx="5">
                  <c:v>36.545454545454547</c:v>
                </c:pt>
                <c:pt idx="6">
                  <c:v>33.939393939393938</c:v>
                </c:pt>
                <c:pt idx="7">
                  <c:v>38.516129032258064</c:v>
                </c:pt>
                <c:pt idx="8">
                  <c:v>34.74285714285714</c:v>
                </c:pt>
                <c:pt idx="9">
                  <c:v>34.5</c:v>
                </c:pt>
                <c:pt idx="10">
                  <c:v>31.65625</c:v>
                </c:pt>
                <c:pt idx="11">
                  <c:v>37.384615384615387</c:v>
                </c:pt>
                <c:pt idx="12">
                  <c:v>36.205128205128204</c:v>
                </c:pt>
                <c:pt idx="13">
                  <c:v>35.6</c:v>
                </c:pt>
                <c:pt idx="14">
                  <c:v>31.068965517241381</c:v>
                </c:pt>
                <c:pt idx="15">
                  <c:v>33</c:v>
                </c:pt>
                <c:pt idx="16">
                  <c:v>36.233333333333334</c:v>
                </c:pt>
                <c:pt idx="17">
                  <c:v>37.142857142857146</c:v>
                </c:pt>
                <c:pt idx="18">
                  <c:v>34.666666666666664</c:v>
                </c:pt>
                <c:pt idx="19">
                  <c:v>36.033333333333331</c:v>
                </c:pt>
                <c:pt idx="20">
                  <c:v>33.838709677419352</c:v>
                </c:pt>
                <c:pt idx="21">
                  <c:v>34.592592592592595</c:v>
                </c:pt>
                <c:pt idx="22">
                  <c:v>34.4375</c:v>
                </c:pt>
                <c:pt idx="23">
                  <c:v>36.172413793103445</c:v>
                </c:pt>
                <c:pt idx="24">
                  <c:v>34.758620689655174</c:v>
                </c:pt>
                <c:pt idx="25">
                  <c:v>37.241379310344826</c:v>
                </c:pt>
                <c:pt idx="26">
                  <c:v>33.9</c:v>
                </c:pt>
                <c:pt idx="27">
                  <c:v>35.4375</c:v>
                </c:pt>
                <c:pt idx="28">
                  <c:v>36.820512820512818</c:v>
                </c:pt>
                <c:pt idx="29">
                  <c:v>31.3125</c:v>
                </c:pt>
                <c:pt idx="30">
                  <c:v>39.064516129032256</c:v>
                </c:pt>
              </c:numCache>
            </c:numRef>
          </c:val>
          <c:extLst>
            <c:ext xmlns:c16="http://schemas.microsoft.com/office/drawing/2014/chart" uri="{C3380CC4-5D6E-409C-BE32-E72D297353CC}">
              <c16:uniqueId val="{00000000-B020-40F2-BED8-CC883335749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23831216"/>
        <c:axId val="223833712"/>
      </c:areaChart>
      <c:catAx>
        <c:axId val="22383121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PK"/>
          </a:p>
        </c:txPr>
        <c:crossAx val="223833712"/>
        <c:crosses val="autoZero"/>
        <c:auto val="1"/>
        <c:lblAlgn val="ctr"/>
        <c:lblOffset val="100"/>
        <c:noMultiLvlLbl val="0"/>
      </c:catAx>
      <c:valAx>
        <c:axId val="223833712"/>
        <c:scaling>
          <c:orientation val="minMax"/>
        </c:scaling>
        <c:delete val="1"/>
        <c:axPos val="l"/>
        <c:numFmt formatCode="0.00" sourceLinked="1"/>
        <c:majorTickMark val="out"/>
        <c:minorTickMark val="none"/>
        <c:tickLblPos val="nextTo"/>
        <c:crossAx val="2238312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sz="1050"/>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[Hospital-Room-Analysis-Management-System.xlsx]Pivot-Report!PivotTable6</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3.2407407407407406E-2"/>
          <c:w val="0.93888888888888888"/>
          <c:h val="0.70432123067949837"/>
        </c:manualLayout>
      </c:layout>
      <c:areaChart>
        <c:grouping val="standard"/>
        <c:varyColors val="0"/>
        <c:ser>
          <c:idx val="0"/>
          <c:order val="0"/>
          <c:tx>
            <c:strRef>
              <c:f>'Pivot-Report'!$M$3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'Pivot-Report'!$L$4:$L$36</c:f>
              <c:multiLvlStrCache>
                <c:ptCount val="31"/>
                <c:lvl>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lvl>
                <c:lvl>
                  <c:pt idx="0">
                    <c:v>Jul</c:v>
                  </c:pt>
                </c:lvl>
              </c:multiLvlStrCache>
            </c:multiLvlStrRef>
          </c:cat>
          <c:val>
            <c:numRef>
              <c:f>'Pivot-Report'!$M$4:$M$36</c:f>
              <c:numCache>
                <c:formatCode>0.00</c:formatCode>
                <c:ptCount val="31"/>
                <c:pt idx="0">
                  <c:v>3.7</c:v>
                </c:pt>
                <c:pt idx="1">
                  <c:v>5.8</c:v>
                </c:pt>
                <c:pt idx="2">
                  <c:v>4</c:v>
                </c:pt>
                <c:pt idx="3">
                  <c:v>2</c:v>
                </c:pt>
                <c:pt idx="4">
                  <c:v>6</c:v>
                </c:pt>
                <c:pt idx="5">
                  <c:v>5</c:v>
                </c:pt>
                <c:pt idx="6">
                  <c:v>5.1111111111111107</c:v>
                </c:pt>
                <c:pt idx="7">
                  <c:v>3.8571428571428572</c:v>
                </c:pt>
                <c:pt idx="8">
                  <c:v>6.5714285714285712</c:v>
                </c:pt>
                <c:pt idx="9">
                  <c:v>5.2857142857142856</c:v>
                </c:pt>
                <c:pt idx="10">
                  <c:v>5.5</c:v>
                </c:pt>
                <c:pt idx="11">
                  <c:v>4.8181818181818183</c:v>
                </c:pt>
                <c:pt idx="12">
                  <c:v>5</c:v>
                </c:pt>
                <c:pt idx="13">
                  <c:v>3.2222222222222223</c:v>
                </c:pt>
                <c:pt idx="14">
                  <c:v>6.333333333333333</c:v>
                </c:pt>
                <c:pt idx="15">
                  <c:v>3.8</c:v>
                </c:pt>
                <c:pt idx="16">
                  <c:v>3.1111111111111112</c:v>
                </c:pt>
                <c:pt idx="17">
                  <c:v>2.8333333333333335</c:v>
                </c:pt>
                <c:pt idx="18">
                  <c:v>6.625</c:v>
                </c:pt>
                <c:pt idx="19">
                  <c:v>3.5</c:v>
                </c:pt>
                <c:pt idx="20">
                  <c:v>5.166666666666667</c:v>
                </c:pt>
                <c:pt idx="21">
                  <c:v>5.333333333333333</c:v>
                </c:pt>
                <c:pt idx="22">
                  <c:v>4.875</c:v>
                </c:pt>
                <c:pt idx="23">
                  <c:v>4.5</c:v>
                </c:pt>
                <c:pt idx="24">
                  <c:v>4.625</c:v>
                </c:pt>
                <c:pt idx="25">
                  <c:v>5</c:v>
                </c:pt>
                <c:pt idx="26">
                  <c:v>6.8181818181818183</c:v>
                </c:pt>
                <c:pt idx="27">
                  <c:v>6.375</c:v>
                </c:pt>
                <c:pt idx="28">
                  <c:v>4.615384615384615</c:v>
                </c:pt>
                <c:pt idx="29">
                  <c:v>5.5454545454545459</c:v>
                </c:pt>
                <c:pt idx="30">
                  <c:v>6.9090909090909092</c:v>
                </c:pt>
              </c:numCache>
            </c:numRef>
          </c:val>
          <c:extLst>
            <c:ext xmlns:c16="http://schemas.microsoft.com/office/drawing/2014/chart" uri="{C3380CC4-5D6E-409C-BE32-E72D297353CC}">
              <c16:uniqueId val="{00000000-BF8B-4EA6-B12F-3DEFE94F10F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33453360"/>
        <c:axId val="1933454192"/>
      </c:areaChart>
      <c:catAx>
        <c:axId val="19334533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PK"/>
          </a:p>
        </c:txPr>
        <c:crossAx val="1933454192"/>
        <c:crosses val="autoZero"/>
        <c:auto val="1"/>
        <c:lblAlgn val="ctr"/>
        <c:lblOffset val="100"/>
        <c:noMultiLvlLbl val="0"/>
      </c:catAx>
      <c:valAx>
        <c:axId val="1933454192"/>
        <c:scaling>
          <c:orientation val="minMax"/>
        </c:scaling>
        <c:delete val="1"/>
        <c:axPos val="l"/>
        <c:numFmt formatCode="0.00" sourceLinked="1"/>
        <c:majorTickMark val="out"/>
        <c:minorTickMark val="none"/>
        <c:tickLblPos val="nextTo"/>
        <c:crossAx val="19334533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image" Target="../media/image8.emf"/><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erage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25400</xdr:colOff>
      <xdr:row>23</xdr:row>
      <xdr:rowOff>19050</xdr:rowOff>
    </xdr:from>
    <xdr:to>
      <xdr:col>4</xdr:col>
      <xdr:colOff>54610</xdr:colOff>
      <xdr:row>26</xdr:row>
      <xdr:rowOff>69850</xdr:rowOff>
    </xdr:to>
    <xdr:graphicFrame macro="">
      <xdr:nvGraphicFramePr>
        <xdr:cNvPr id="2" name="Chart 1">
          <a:extLst>
            <a:ext uri="{FF2B5EF4-FFF2-40B4-BE49-F238E27FC236}">
              <a16:creationId xmlns:a16="http://schemas.microsoft.com/office/drawing/2014/main" id="{DA8BADDB-98BE-4CB1-805D-25C90D1AD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95250</xdr:colOff>
      <xdr:row>0</xdr:row>
      <xdr:rowOff>107950</xdr:rowOff>
    </xdr:from>
    <xdr:to>
      <xdr:col>6</xdr:col>
      <xdr:colOff>279400</xdr:colOff>
      <xdr:row>4</xdr:row>
      <xdr:rowOff>69850</xdr:rowOff>
    </xdr:to>
    <xdr:sp macro="" textlink="">
      <xdr:nvSpPr>
        <xdr:cNvPr id="2" name="Rectangle: Rounded Corners 1">
          <a:extLst>
            <a:ext uri="{FF2B5EF4-FFF2-40B4-BE49-F238E27FC236}">
              <a16:creationId xmlns:a16="http://schemas.microsoft.com/office/drawing/2014/main" id="{1007B628-EDB3-4F3F-8549-BE686AAC48D8}"/>
            </a:ext>
          </a:extLst>
        </xdr:cNvPr>
        <xdr:cNvSpPr/>
      </xdr:nvSpPr>
      <xdr:spPr>
        <a:xfrm>
          <a:off x="95250" y="107950"/>
          <a:ext cx="3841750" cy="698500"/>
        </a:xfrm>
        <a:prstGeom prst="roundRect">
          <a:avLst/>
        </a:prstGeom>
        <a:solidFill>
          <a:schemeClr val="accent6">
            <a:lumMod val="75000"/>
          </a:schemeClr>
        </a:solidFill>
        <a:ln>
          <a:noFill/>
        </a:ln>
        <a:effectLst>
          <a:outerShdw blurRad="107950" dist="12700" dir="5400000" algn="ctr">
            <a:srgbClr val="000000"/>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absolute">
    <xdr:from>
      <xdr:col>6</xdr:col>
      <xdr:colOff>387350</xdr:colOff>
      <xdr:row>0</xdr:row>
      <xdr:rowOff>114300</xdr:rowOff>
    </xdr:from>
    <xdr:to>
      <xdr:col>9</xdr:col>
      <xdr:colOff>69850</xdr:colOff>
      <xdr:row>4</xdr:row>
      <xdr:rowOff>50800</xdr:rowOff>
    </xdr:to>
    <xdr:sp macro="" textlink="">
      <xdr:nvSpPr>
        <xdr:cNvPr id="3" name="Rectangle: Rounded Corners 2">
          <a:extLst>
            <a:ext uri="{FF2B5EF4-FFF2-40B4-BE49-F238E27FC236}">
              <a16:creationId xmlns:a16="http://schemas.microsoft.com/office/drawing/2014/main" id="{84450414-1E61-4567-82C2-0C05D0EA84BB}"/>
            </a:ext>
          </a:extLst>
        </xdr:cNvPr>
        <xdr:cNvSpPr/>
      </xdr:nvSpPr>
      <xdr:spPr>
        <a:xfrm>
          <a:off x="4044950" y="114300"/>
          <a:ext cx="1511300" cy="673100"/>
        </a:xfrm>
        <a:prstGeom prst="roundRect">
          <a:avLst>
            <a:gd name="adj" fmla="val 14420"/>
          </a:avLst>
        </a:prstGeom>
        <a:solidFill>
          <a:schemeClr val="accent6">
            <a:lumMod val="75000"/>
          </a:scheme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absolute">
    <xdr:from>
      <xdr:col>9</xdr:col>
      <xdr:colOff>162168</xdr:colOff>
      <xdr:row>0</xdr:row>
      <xdr:rowOff>130418</xdr:rowOff>
    </xdr:from>
    <xdr:to>
      <xdr:col>11</xdr:col>
      <xdr:colOff>533399</xdr:colOff>
      <xdr:row>8</xdr:row>
      <xdr:rowOff>41029</xdr:rowOff>
    </xdr:to>
    <xdr:sp macro="" textlink="">
      <xdr:nvSpPr>
        <xdr:cNvPr id="4" name="Rectangle: Rounded Corners 3">
          <a:extLst>
            <a:ext uri="{FF2B5EF4-FFF2-40B4-BE49-F238E27FC236}">
              <a16:creationId xmlns:a16="http://schemas.microsoft.com/office/drawing/2014/main" id="{B3937F1E-5C65-4465-B685-CDACED024EFF}"/>
            </a:ext>
          </a:extLst>
        </xdr:cNvPr>
        <xdr:cNvSpPr/>
      </xdr:nvSpPr>
      <xdr:spPr>
        <a:xfrm>
          <a:off x="5648568" y="130418"/>
          <a:ext cx="1590431" cy="1364273"/>
        </a:xfrm>
        <a:prstGeom prst="roundRect">
          <a:avLst>
            <a:gd name="adj" fmla="val 6219"/>
          </a:avLst>
        </a:prstGeom>
        <a:solidFill>
          <a:schemeClr val="accent6">
            <a:lumMod val="75000"/>
          </a:scheme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PK" sz="1100">
            <a:solidFill>
              <a:schemeClr val="lt1"/>
            </a:solidFill>
            <a:latin typeface="+mn-lt"/>
            <a:ea typeface="+mn-ea"/>
            <a:cs typeface="+mn-cs"/>
          </a:endParaRPr>
        </a:p>
      </xdr:txBody>
    </xdr:sp>
    <xdr:clientData/>
  </xdr:twoCellAnchor>
  <xdr:twoCellAnchor editAs="absolute">
    <xdr:from>
      <xdr:col>0</xdr:col>
      <xdr:colOff>95250</xdr:colOff>
      <xdr:row>4</xdr:row>
      <xdr:rowOff>127000</xdr:rowOff>
    </xdr:from>
    <xdr:to>
      <xdr:col>1</xdr:col>
      <xdr:colOff>533400</xdr:colOff>
      <xdr:row>21</xdr:row>
      <xdr:rowOff>82061</xdr:rowOff>
    </xdr:to>
    <xdr:sp macro="" textlink="">
      <xdr:nvSpPr>
        <xdr:cNvPr id="6" name="Rectangle: Rounded Corners 5">
          <a:extLst>
            <a:ext uri="{FF2B5EF4-FFF2-40B4-BE49-F238E27FC236}">
              <a16:creationId xmlns:a16="http://schemas.microsoft.com/office/drawing/2014/main" id="{3FDB0489-4DDD-4421-8C06-F358B9302471}"/>
            </a:ext>
          </a:extLst>
        </xdr:cNvPr>
        <xdr:cNvSpPr/>
      </xdr:nvSpPr>
      <xdr:spPr>
        <a:xfrm>
          <a:off x="95250" y="853831"/>
          <a:ext cx="1047750" cy="3044092"/>
        </a:xfrm>
        <a:prstGeom prst="roundRect">
          <a:avLst>
            <a:gd name="adj" fmla="val 6970"/>
          </a:avLst>
        </a:prstGeom>
        <a:solidFill>
          <a:schemeClr val="accent6">
            <a:lumMod val="75000"/>
          </a:scheme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PK" sz="1100">
            <a:solidFill>
              <a:schemeClr val="lt1"/>
            </a:solidFill>
            <a:latin typeface="+mn-lt"/>
            <a:ea typeface="+mn-ea"/>
            <a:cs typeface="+mn-cs"/>
          </a:endParaRPr>
        </a:p>
      </xdr:txBody>
    </xdr:sp>
    <xdr:clientData/>
  </xdr:twoCellAnchor>
  <xdr:twoCellAnchor editAs="absolute">
    <xdr:from>
      <xdr:col>2</xdr:col>
      <xdr:colOff>37612</xdr:colOff>
      <xdr:row>13</xdr:row>
      <xdr:rowOff>31262</xdr:rowOff>
    </xdr:from>
    <xdr:to>
      <xdr:col>9</xdr:col>
      <xdr:colOff>75712</xdr:colOff>
      <xdr:row>21</xdr:row>
      <xdr:rowOff>76200</xdr:rowOff>
    </xdr:to>
    <xdr:sp macro="" textlink="">
      <xdr:nvSpPr>
        <xdr:cNvPr id="12" name="Rectangle: Rounded Corners 11">
          <a:extLst>
            <a:ext uri="{FF2B5EF4-FFF2-40B4-BE49-F238E27FC236}">
              <a16:creationId xmlns:a16="http://schemas.microsoft.com/office/drawing/2014/main" id="{892C8205-181A-49CD-B0AD-75BDB181876D}"/>
            </a:ext>
          </a:extLst>
        </xdr:cNvPr>
        <xdr:cNvSpPr/>
      </xdr:nvSpPr>
      <xdr:spPr>
        <a:xfrm>
          <a:off x="1256812" y="2393462"/>
          <a:ext cx="4305300" cy="1498600"/>
        </a:xfrm>
        <a:prstGeom prst="roundRect">
          <a:avLst>
            <a:gd name="adj" fmla="val 5995"/>
          </a:avLst>
        </a:prstGeom>
        <a:solidFill>
          <a:schemeClr val="accent6">
            <a:lumMod val="75000"/>
          </a:scheme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PK" sz="1100">
            <a:solidFill>
              <a:schemeClr val="lt1"/>
            </a:solidFill>
            <a:latin typeface="+mn-lt"/>
            <a:ea typeface="+mn-ea"/>
            <a:cs typeface="+mn-cs"/>
          </a:endParaRPr>
        </a:p>
      </xdr:txBody>
    </xdr:sp>
    <xdr:clientData/>
  </xdr:twoCellAnchor>
  <xdr:twoCellAnchor editAs="absolute">
    <xdr:from>
      <xdr:col>9</xdr:col>
      <xdr:colOff>146539</xdr:colOff>
      <xdr:row>8</xdr:row>
      <xdr:rowOff>76199</xdr:rowOff>
    </xdr:from>
    <xdr:to>
      <xdr:col>14</xdr:col>
      <xdr:colOff>345831</xdr:colOff>
      <xdr:row>21</xdr:row>
      <xdr:rowOff>99644</xdr:rowOff>
    </xdr:to>
    <xdr:sp macro="" textlink="">
      <xdr:nvSpPr>
        <xdr:cNvPr id="13" name="Rectangle: Rounded Corners 12">
          <a:extLst>
            <a:ext uri="{FF2B5EF4-FFF2-40B4-BE49-F238E27FC236}">
              <a16:creationId xmlns:a16="http://schemas.microsoft.com/office/drawing/2014/main" id="{6BFDE822-DE6F-4E6E-BB8B-5EBA96C1952C}"/>
            </a:ext>
          </a:extLst>
        </xdr:cNvPr>
        <xdr:cNvSpPr/>
      </xdr:nvSpPr>
      <xdr:spPr>
        <a:xfrm>
          <a:off x="5632939" y="1529861"/>
          <a:ext cx="3247292" cy="2385645"/>
        </a:xfrm>
        <a:prstGeom prst="roundRect">
          <a:avLst>
            <a:gd name="adj" fmla="val 6219"/>
          </a:avLst>
        </a:prstGeom>
        <a:solidFill>
          <a:schemeClr val="accent6">
            <a:lumMod val="75000"/>
          </a:scheme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PK" sz="1100">
            <a:solidFill>
              <a:schemeClr val="lt1"/>
            </a:solidFill>
            <a:latin typeface="+mn-lt"/>
            <a:ea typeface="+mn-ea"/>
            <a:cs typeface="+mn-cs"/>
          </a:endParaRPr>
        </a:p>
      </xdr:txBody>
    </xdr:sp>
    <xdr:clientData/>
  </xdr:twoCellAnchor>
  <xdr:twoCellAnchor editAs="absolute">
    <xdr:from>
      <xdr:col>0</xdr:col>
      <xdr:colOff>577850</xdr:colOff>
      <xdr:row>1</xdr:row>
      <xdr:rowOff>82550</xdr:rowOff>
    </xdr:from>
    <xdr:to>
      <xdr:col>5</xdr:col>
      <xdr:colOff>590550</xdr:colOff>
      <xdr:row>2</xdr:row>
      <xdr:rowOff>146050</xdr:rowOff>
    </xdr:to>
    <xdr:sp macro="" textlink="">
      <xdr:nvSpPr>
        <xdr:cNvPr id="5" name="TextBox 4">
          <a:extLst>
            <a:ext uri="{FF2B5EF4-FFF2-40B4-BE49-F238E27FC236}">
              <a16:creationId xmlns:a16="http://schemas.microsoft.com/office/drawing/2014/main" id="{7901B493-8E6E-4D4A-844C-4B26E4CFA961}"/>
            </a:ext>
          </a:extLst>
        </xdr:cNvPr>
        <xdr:cNvSpPr txBox="1"/>
      </xdr:nvSpPr>
      <xdr:spPr>
        <a:xfrm>
          <a:off x="577850" y="266700"/>
          <a:ext cx="30607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solidFill>
                <a:schemeClr val="bg1"/>
              </a:solidFill>
            </a:rPr>
            <a:t>Hospital</a:t>
          </a:r>
          <a:r>
            <a:rPr lang="en-US" sz="1400" b="1" baseline="0">
              <a:solidFill>
                <a:schemeClr val="bg1"/>
              </a:solidFill>
            </a:rPr>
            <a:t> Emergency Room Dashboard</a:t>
          </a:r>
          <a:endParaRPr lang="en-PK" sz="1400" b="1">
            <a:solidFill>
              <a:schemeClr val="bg1"/>
            </a:solidFill>
          </a:endParaRPr>
        </a:p>
      </xdr:txBody>
    </xdr:sp>
    <xdr:clientData/>
  </xdr:twoCellAnchor>
  <xdr:twoCellAnchor editAs="oneCell">
    <xdr:from>
      <xdr:col>0</xdr:col>
      <xdr:colOff>222250</xdr:colOff>
      <xdr:row>1</xdr:row>
      <xdr:rowOff>0</xdr:rowOff>
    </xdr:from>
    <xdr:to>
      <xdr:col>1</xdr:col>
      <xdr:colOff>44450</xdr:colOff>
      <xdr:row>3</xdr:row>
      <xdr:rowOff>63500</xdr:rowOff>
    </xdr:to>
    <xdr:pic>
      <xdr:nvPicPr>
        <xdr:cNvPr id="15" name="Picture 14">
          <a:extLst>
            <a:ext uri="{FF2B5EF4-FFF2-40B4-BE49-F238E27FC236}">
              <a16:creationId xmlns:a16="http://schemas.microsoft.com/office/drawing/2014/main" id="{6A36BBBF-DBF9-4E49-AB0A-4BDF62B628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2250" y="184150"/>
          <a:ext cx="431800" cy="431800"/>
        </a:xfrm>
        <a:prstGeom prst="rect">
          <a:avLst/>
        </a:prstGeom>
        <a:solidFill>
          <a:schemeClr val="bg1"/>
        </a:solidFill>
      </xdr:spPr>
    </xdr:pic>
    <xdr:clientData/>
  </xdr:twoCellAnchor>
  <xdr:twoCellAnchor>
    <xdr:from>
      <xdr:col>2</xdr:col>
      <xdr:colOff>6350</xdr:colOff>
      <xdr:row>4</xdr:row>
      <xdr:rowOff>114300</xdr:rowOff>
    </xdr:from>
    <xdr:to>
      <xdr:col>4</xdr:col>
      <xdr:colOff>114300</xdr:colOff>
      <xdr:row>9</xdr:row>
      <xdr:rowOff>114300</xdr:rowOff>
    </xdr:to>
    <xdr:sp macro="" textlink="">
      <xdr:nvSpPr>
        <xdr:cNvPr id="7" name="Rectangle: Rounded Corners 6">
          <a:extLst>
            <a:ext uri="{FF2B5EF4-FFF2-40B4-BE49-F238E27FC236}">
              <a16:creationId xmlns:a16="http://schemas.microsoft.com/office/drawing/2014/main" id="{376498D9-A3E1-4A91-B69B-8443944DF09A}"/>
            </a:ext>
          </a:extLst>
        </xdr:cNvPr>
        <xdr:cNvSpPr/>
      </xdr:nvSpPr>
      <xdr:spPr>
        <a:xfrm>
          <a:off x="1225550" y="850900"/>
          <a:ext cx="1327150" cy="920750"/>
        </a:xfrm>
        <a:prstGeom prst="roundRect">
          <a:avLst>
            <a:gd name="adj" fmla="val 6970"/>
          </a:avLst>
        </a:prstGeom>
        <a:solidFill>
          <a:schemeClr val="accent6">
            <a:lumMod val="75000"/>
          </a:scheme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PK" sz="1100">
            <a:solidFill>
              <a:schemeClr val="lt1"/>
            </a:solidFill>
            <a:latin typeface="+mn-lt"/>
            <a:ea typeface="+mn-ea"/>
            <a:cs typeface="+mn-cs"/>
          </a:endParaRPr>
        </a:p>
      </xdr:txBody>
    </xdr:sp>
    <xdr:clientData/>
  </xdr:twoCellAnchor>
  <xdr:twoCellAnchor>
    <xdr:from>
      <xdr:col>4</xdr:col>
      <xdr:colOff>171450</xdr:colOff>
      <xdr:row>4</xdr:row>
      <xdr:rowOff>133350</xdr:rowOff>
    </xdr:from>
    <xdr:to>
      <xdr:col>6</xdr:col>
      <xdr:colOff>361950</xdr:colOff>
      <xdr:row>9</xdr:row>
      <xdr:rowOff>133350</xdr:rowOff>
    </xdr:to>
    <xdr:sp macro="" textlink="">
      <xdr:nvSpPr>
        <xdr:cNvPr id="16" name="Rectangle: Rounded Corners 15">
          <a:extLst>
            <a:ext uri="{FF2B5EF4-FFF2-40B4-BE49-F238E27FC236}">
              <a16:creationId xmlns:a16="http://schemas.microsoft.com/office/drawing/2014/main" id="{825395F0-D0AD-4196-8746-3906437B8318}"/>
            </a:ext>
          </a:extLst>
        </xdr:cNvPr>
        <xdr:cNvSpPr/>
      </xdr:nvSpPr>
      <xdr:spPr>
        <a:xfrm>
          <a:off x="2609850" y="869950"/>
          <a:ext cx="1409700" cy="920750"/>
        </a:xfrm>
        <a:prstGeom prst="roundRect">
          <a:avLst>
            <a:gd name="adj" fmla="val 6970"/>
          </a:avLst>
        </a:prstGeom>
        <a:solidFill>
          <a:schemeClr val="accent6">
            <a:lumMod val="75000"/>
          </a:scheme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PK" sz="1100">
            <a:solidFill>
              <a:schemeClr val="lt1"/>
            </a:solidFill>
            <a:latin typeface="+mn-lt"/>
            <a:ea typeface="+mn-ea"/>
            <a:cs typeface="+mn-cs"/>
          </a:endParaRPr>
        </a:p>
      </xdr:txBody>
    </xdr:sp>
    <xdr:clientData/>
  </xdr:twoCellAnchor>
  <xdr:twoCellAnchor>
    <xdr:from>
      <xdr:col>6</xdr:col>
      <xdr:colOff>438150</xdr:colOff>
      <xdr:row>4</xdr:row>
      <xdr:rowOff>133350</xdr:rowOff>
    </xdr:from>
    <xdr:to>
      <xdr:col>9</xdr:col>
      <xdr:colOff>76200</xdr:colOff>
      <xdr:row>9</xdr:row>
      <xdr:rowOff>133350</xdr:rowOff>
    </xdr:to>
    <xdr:sp macro="" textlink="">
      <xdr:nvSpPr>
        <xdr:cNvPr id="17" name="Rectangle: Rounded Corners 16">
          <a:extLst>
            <a:ext uri="{FF2B5EF4-FFF2-40B4-BE49-F238E27FC236}">
              <a16:creationId xmlns:a16="http://schemas.microsoft.com/office/drawing/2014/main" id="{C5182745-7A8C-4766-804C-1E2A5446EE2E}"/>
            </a:ext>
          </a:extLst>
        </xdr:cNvPr>
        <xdr:cNvSpPr/>
      </xdr:nvSpPr>
      <xdr:spPr>
        <a:xfrm>
          <a:off x="4095750" y="869950"/>
          <a:ext cx="1466850" cy="920750"/>
        </a:xfrm>
        <a:prstGeom prst="roundRect">
          <a:avLst>
            <a:gd name="adj" fmla="val 6970"/>
          </a:avLst>
        </a:prstGeom>
        <a:solidFill>
          <a:schemeClr val="accent6">
            <a:lumMod val="75000"/>
          </a:scheme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PK" sz="1100">
            <a:solidFill>
              <a:schemeClr val="lt1"/>
            </a:solidFill>
            <a:latin typeface="+mn-lt"/>
            <a:ea typeface="+mn-ea"/>
            <a:cs typeface="+mn-cs"/>
          </a:endParaRPr>
        </a:p>
      </xdr:txBody>
    </xdr:sp>
    <xdr:clientData/>
  </xdr:twoCellAnchor>
  <xdr:twoCellAnchor editAs="absolute">
    <xdr:from>
      <xdr:col>2</xdr:col>
      <xdr:colOff>31750</xdr:colOff>
      <xdr:row>2</xdr:row>
      <xdr:rowOff>139700</xdr:rowOff>
    </xdr:from>
    <xdr:to>
      <xdr:col>4</xdr:col>
      <xdr:colOff>222250</xdr:colOff>
      <xdr:row>3</xdr:row>
      <xdr:rowOff>139700</xdr:rowOff>
    </xdr:to>
    <xdr:sp macro="" textlink="">
      <xdr:nvSpPr>
        <xdr:cNvPr id="20" name="TextBox 19">
          <a:extLst>
            <a:ext uri="{FF2B5EF4-FFF2-40B4-BE49-F238E27FC236}">
              <a16:creationId xmlns:a16="http://schemas.microsoft.com/office/drawing/2014/main" id="{A965CEE9-5C47-4C9F-BF20-C2368C5FEEC4}"/>
            </a:ext>
          </a:extLst>
        </xdr:cNvPr>
        <xdr:cNvSpPr txBox="1"/>
      </xdr:nvSpPr>
      <xdr:spPr>
        <a:xfrm>
          <a:off x="1250950" y="508000"/>
          <a:ext cx="140970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50" b="1">
              <a:solidFill>
                <a:schemeClr val="bg1"/>
              </a:solidFill>
            </a:rPr>
            <a:t>Monthy</a:t>
          </a:r>
          <a:r>
            <a:rPr lang="en-US" sz="1050" b="1" baseline="0">
              <a:solidFill>
                <a:schemeClr val="bg1"/>
              </a:solidFill>
            </a:rPr>
            <a:t> Report</a:t>
          </a:r>
          <a:endParaRPr lang="en-PK" sz="1050" b="1">
            <a:solidFill>
              <a:schemeClr val="bg1"/>
            </a:solidFill>
          </a:endParaRPr>
        </a:p>
      </xdr:txBody>
    </xdr:sp>
    <xdr:clientData/>
  </xdr:twoCellAnchor>
  <xdr:twoCellAnchor editAs="absolute">
    <xdr:from>
      <xdr:col>1</xdr:col>
      <xdr:colOff>527050</xdr:colOff>
      <xdr:row>5</xdr:row>
      <xdr:rowOff>40121</xdr:rowOff>
    </xdr:from>
    <xdr:to>
      <xdr:col>4</xdr:col>
      <xdr:colOff>107950</xdr:colOff>
      <xdr:row>6</xdr:row>
      <xdr:rowOff>23380</xdr:rowOff>
    </xdr:to>
    <xdr:sp macro="" textlink="'Pivot-Report'!A4">
      <xdr:nvSpPr>
        <xdr:cNvPr id="24" name="TextBox 23">
          <a:extLst>
            <a:ext uri="{FF2B5EF4-FFF2-40B4-BE49-F238E27FC236}">
              <a16:creationId xmlns:a16="http://schemas.microsoft.com/office/drawing/2014/main" id="{AE4CE8C5-FA22-461B-A53A-0F42E3124162}"/>
            </a:ext>
          </a:extLst>
        </xdr:cNvPr>
        <xdr:cNvSpPr txBox="1"/>
      </xdr:nvSpPr>
      <xdr:spPr>
        <a:xfrm>
          <a:off x="1136650" y="960871"/>
          <a:ext cx="1409700" cy="167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2E38D1B-8342-48D5-84D5-8FD56AEE90B3}" type="TxLink">
            <a:rPr lang="en-US" sz="1400" b="1" i="0" u="none" strike="noStrike">
              <a:solidFill>
                <a:schemeClr val="bg1"/>
              </a:solidFill>
              <a:latin typeface="Calibri"/>
              <a:ea typeface="Calibri"/>
              <a:cs typeface="Calibri"/>
            </a:rPr>
            <a:pPr algn="ctr"/>
            <a:t>952</a:t>
          </a:fld>
          <a:endParaRPr lang="en-PK" sz="1600" b="1">
            <a:solidFill>
              <a:schemeClr val="bg1"/>
            </a:solidFill>
          </a:endParaRPr>
        </a:p>
      </xdr:txBody>
    </xdr:sp>
    <xdr:clientData/>
  </xdr:twoCellAnchor>
  <xdr:twoCellAnchor editAs="absolute">
    <xdr:from>
      <xdr:col>4</xdr:col>
      <xdr:colOff>165100</xdr:colOff>
      <xdr:row>5</xdr:row>
      <xdr:rowOff>52821</xdr:rowOff>
    </xdr:from>
    <xdr:to>
      <xdr:col>6</xdr:col>
      <xdr:colOff>355600</xdr:colOff>
      <xdr:row>6</xdr:row>
      <xdr:rowOff>36080</xdr:rowOff>
    </xdr:to>
    <xdr:sp macro="" textlink="'Pivot-Report'!A10">
      <xdr:nvSpPr>
        <xdr:cNvPr id="26" name="TextBox 25">
          <a:extLst>
            <a:ext uri="{FF2B5EF4-FFF2-40B4-BE49-F238E27FC236}">
              <a16:creationId xmlns:a16="http://schemas.microsoft.com/office/drawing/2014/main" id="{AA50D66B-AF1A-41E0-BAA6-BC624330965D}"/>
            </a:ext>
          </a:extLst>
        </xdr:cNvPr>
        <xdr:cNvSpPr txBox="1"/>
      </xdr:nvSpPr>
      <xdr:spPr>
        <a:xfrm>
          <a:off x="2603500" y="973571"/>
          <a:ext cx="1409700" cy="167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fld id="{31524EBE-93C1-4C3B-9F31-6EF6907C79DE}" type="TxLink">
            <a:rPr lang="en-US" sz="1400" b="1" i="0" u="none" strike="noStrike">
              <a:solidFill>
                <a:schemeClr val="bg1"/>
              </a:solidFill>
              <a:latin typeface="Calibri"/>
              <a:ea typeface="Calibri"/>
              <a:cs typeface="Calibri"/>
            </a:rPr>
            <a:pPr marL="0" indent="0" algn="ctr"/>
            <a:t>34.97</a:t>
          </a:fld>
          <a:endParaRPr lang="en-PK" sz="1400" b="1" i="0" u="none" strike="noStrike">
            <a:solidFill>
              <a:schemeClr val="bg1"/>
            </a:solidFill>
            <a:latin typeface="Calibri"/>
            <a:ea typeface="Calibri"/>
            <a:cs typeface="Calibri"/>
          </a:endParaRPr>
        </a:p>
      </xdr:txBody>
    </xdr:sp>
    <xdr:clientData/>
  </xdr:twoCellAnchor>
  <xdr:twoCellAnchor editAs="absolute">
    <xdr:from>
      <xdr:col>6</xdr:col>
      <xdr:colOff>463550</xdr:colOff>
      <xdr:row>5</xdr:row>
      <xdr:rowOff>103621</xdr:rowOff>
    </xdr:from>
    <xdr:to>
      <xdr:col>9</xdr:col>
      <xdr:colOff>44450</xdr:colOff>
      <xdr:row>6</xdr:row>
      <xdr:rowOff>86880</xdr:rowOff>
    </xdr:to>
    <xdr:sp macro="" textlink="'Pivot-Report'!A15">
      <xdr:nvSpPr>
        <xdr:cNvPr id="28" name="TextBox 27">
          <a:extLst>
            <a:ext uri="{FF2B5EF4-FFF2-40B4-BE49-F238E27FC236}">
              <a16:creationId xmlns:a16="http://schemas.microsoft.com/office/drawing/2014/main" id="{B1621C19-4CC2-4C37-BB79-5EFC5F3FE2F3}"/>
            </a:ext>
          </a:extLst>
        </xdr:cNvPr>
        <xdr:cNvSpPr txBox="1"/>
      </xdr:nvSpPr>
      <xdr:spPr>
        <a:xfrm>
          <a:off x="4121150" y="1024371"/>
          <a:ext cx="1409700" cy="167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fld id="{F3E6F8EA-D91E-4E80-8C53-9DB8C7BD5F36}" type="TxLink">
            <a:rPr lang="en-US" sz="1400" b="1" i="0" u="none" strike="noStrike">
              <a:solidFill>
                <a:schemeClr val="bg1"/>
              </a:solidFill>
              <a:latin typeface="Calibri"/>
              <a:ea typeface="Calibri"/>
              <a:cs typeface="Calibri"/>
            </a:rPr>
            <a:pPr marL="0" indent="0" algn="ctr"/>
            <a:t>4.88</a:t>
          </a:fld>
          <a:endParaRPr lang="en-PK" sz="1400" b="1" i="0" u="none" strike="noStrike">
            <a:solidFill>
              <a:schemeClr val="bg1"/>
            </a:solidFill>
            <a:latin typeface="Calibri"/>
            <a:ea typeface="Calibri"/>
            <a:cs typeface="Calibri"/>
          </a:endParaRPr>
        </a:p>
      </xdr:txBody>
    </xdr:sp>
    <xdr:clientData/>
  </xdr:twoCellAnchor>
  <xdr:twoCellAnchor>
    <xdr:from>
      <xdr:col>6</xdr:col>
      <xdr:colOff>432289</xdr:colOff>
      <xdr:row>6</xdr:row>
      <xdr:rowOff>151912</xdr:rowOff>
    </xdr:from>
    <xdr:to>
      <xdr:col>9</xdr:col>
      <xdr:colOff>25889</xdr:colOff>
      <xdr:row>7</xdr:row>
      <xdr:rowOff>120162</xdr:rowOff>
    </xdr:to>
    <xdr:sp macro="" textlink="">
      <xdr:nvSpPr>
        <xdr:cNvPr id="29" name="TextBox 28">
          <a:extLst>
            <a:ext uri="{FF2B5EF4-FFF2-40B4-BE49-F238E27FC236}">
              <a16:creationId xmlns:a16="http://schemas.microsoft.com/office/drawing/2014/main" id="{2E0DE727-F36D-44DB-8739-571DA9F62DA4}"/>
            </a:ext>
          </a:extLst>
        </xdr:cNvPr>
        <xdr:cNvSpPr txBox="1"/>
      </xdr:nvSpPr>
      <xdr:spPr>
        <a:xfrm>
          <a:off x="4089889" y="1242158"/>
          <a:ext cx="1422400" cy="149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1" baseline="0">
              <a:solidFill>
                <a:schemeClr val="bg1"/>
              </a:solidFill>
            </a:rPr>
            <a:t> Patient Satisfaction Score </a:t>
          </a:r>
          <a:endParaRPr lang="en-PK" sz="1000" b="1">
            <a:solidFill>
              <a:schemeClr val="bg1"/>
            </a:solidFill>
          </a:endParaRPr>
        </a:p>
      </xdr:txBody>
    </xdr:sp>
    <xdr:clientData/>
  </xdr:twoCellAnchor>
  <xdr:twoCellAnchor editAs="oneCell">
    <xdr:from>
      <xdr:col>3</xdr:col>
      <xdr:colOff>349250</xdr:colOff>
      <xdr:row>4</xdr:row>
      <xdr:rowOff>171450</xdr:rowOff>
    </xdr:from>
    <xdr:to>
      <xdr:col>4</xdr:col>
      <xdr:colOff>69850</xdr:colOff>
      <xdr:row>6</xdr:row>
      <xdr:rowOff>133350</xdr:rowOff>
    </xdr:to>
    <xdr:pic>
      <xdr:nvPicPr>
        <xdr:cNvPr id="33" name="Graphic 32" descr="Male profile with solid fill">
          <a:extLst>
            <a:ext uri="{FF2B5EF4-FFF2-40B4-BE49-F238E27FC236}">
              <a16:creationId xmlns:a16="http://schemas.microsoft.com/office/drawing/2014/main" id="{5F00775E-D9AC-4A46-9ED9-0F5A6915C1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178050" y="908050"/>
          <a:ext cx="330200" cy="330200"/>
        </a:xfrm>
        <a:prstGeom prst="rect">
          <a:avLst/>
        </a:prstGeom>
      </xdr:spPr>
    </xdr:pic>
    <xdr:clientData/>
  </xdr:twoCellAnchor>
  <xdr:twoCellAnchor editAs="oneCell">
    <xdr:from>
      <xdr:col>8</xdr:col>
      <xdr:colOff>304800</xdr:colOff>
      <xdr:row>5</xdr:row>
      <xdr:rowOff>25400</xdr:rowOff>
    </xdr:from>
    <xdr:to>
      <xdr:col>9</xdr:col>
      <xdr:colOff>0</xdr:colOff>
      <xdr:row>6</xdr:row>
      <xdr:rowOff>146050</xdr:rowOff>
    </xdr:to>
    <xdr:pic>
      <xdr:nvPicPr>
        <xdr:cNvPr id="9" name="Graphic 8" descr="Customer review with solid fill">
          <a:extLst>
            <a:ext uri="{FF2B5EF4-FFF2-40B4-BE49-F238E27FC236}">
              <a16:creationId xmlns:a16="http://schemas.microsoft.com/office/drawing/2014/main" id="{2793DC51-CDC7-42C2-A83B-88A47929C1A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5181600" y="946150"/>
          <a:ext cx="304800" cy="304800"/>
        </a:xfrm>
        <a:prstGeom prst="rect">
          <a:avLst/>
        </a:prstGeom>
      </xdr:spPr>
    </xdr:pic>
    <xdr:clientData/>
  </xdr:twoCellAnchor>
  <xdr:twoCellAnchor editAs="oneCell">
    <xdr:from>
      <xdr:col>6</xdr:col>
      <xdr:colOff>69850</xdr:colOff>
      <xdr:row>5</xdr:row>
      <xdr:rowOff>25400</xdr:rowOff>
    </xdr:from>
    <xdr:to>
      <xdr:col>6</xdr:col>
      <xdr:colOff>355600</xdr:colOff>
      <xdr:row>6</xdr:row>
      <xdr:rowOff>127000</xdr:rowOff>
    </xdr:to>
    <xdr:pic>
      <xdr:nvPicPr>
        <xdr:cNvPr id="14" name="Graphic 13" descr="Hourglass Finished with solid fill">
          <a:extLst>
            <a:ext uri="{FF2B5EF4-FFF2-40B4-BE49-F238E27FC236}">
              <a16:creationId xmlns:a16="http://schemas.microsoft.com/office/drawing/2014/main" id="{878BB395-F5AA-43A6-8B09-EC05203CAC6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727450" y="946150"/>
          <a:ext cx="285750" cy="285750"/>
        </a:xfrm>
        <a:prstGeom prst="rect">
          <a:avLst/>
        </a:prstGeom>
      </xdr:spPr>
    </xdr:pic>
    <xdr:clientData/>
  </xdr:twoCellAnchor>
  <xdr:twoCellAnchor editAs="oneCell">
    <xdr:from>
      <xdr:col>0</xdr:col>
      <xdr:colOff>158750</xdr:colOff>
      <xdr:row>5</xdr:row>
      <xdr:rowOff>29307</xdr:rowOff>
    </xdr:from>
    <xdr:to>
      <xdr:col>1</xdr:col>
      <xdr:colOff>468923</xdr:colOff>
      <xdr:row>21</xdr:row>
      <xdr:rowOff>21718</xdr:rowOff>
    </xdr:to>
    <mc:AlternateContent xmlns:mc="http://schemas.openxmlformats.org/markup-compatibility/2006" xmlns:a14="http://schemas.microsoft.com/office/drawing/2010/main">
      <mc:Choice Requires="a14">
        <xdr:graphicFrame macro="">
          <xdr:nvGraphicFramePr>
            <xdr:cNvPr id="30" name="Date (Month)">
              <a:extLst>
                <a:ext uri="{FF2B5EF4-FFF2-40B4-BE49-F238E27FC236}">
                  <a16:creationId xmlns:a16="http://schemas.microsoft.com/office/drawing/2014/main" id="{DD040369-70F6-431B-B538-AE7EAB64ED2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58750" y="885581"/>
              <a:ext cx="920750" cy="2952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494407</xdr:colOff>
      <xdr:row>6</xdr:row>
      <xdr:rowOff>120650</xdr:rowOff>
    </xdr:from>
    <xdr:to>
      <xdr:col>4</xdr:col>
      <xdr:colOff>198386</xdr:colOff>
      <xdr:row>7</xdr:row>
      <xdr:rowOff>101953</xdr:rowOff>
    </xdr:to>
    <xdr:sp macro="" textlink="">
      <xdr:nvSpPr>
        <xdr:cNvPr id="25" name="TextBox 24">
          <a:extLst>
            <a:ext uri="{FF2B5EF4-FFF2-40B4-BE49-F238E27FC236}">
              <a16:creationId xmlns:a16="http://schemas.microsoft.com/office/drawing/2014/main" id="{5B241AFD-04FE-4C3E-BEFE-5454014AF9F1}"/>
            </a:ext>
          </a:extLst>
        </xdr:cNvPr>
        <xdr:cNvSpPr txBox="1"/>
      </xdr:nvSpPr>
      <xdr:spPr>
        <a:xfrm>
          <a:off x="1104007" y="1210896"/>
          <a:ext cx="1532779" cy="163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1">
              <a:solidFill>
                <a:schemeClr val="bg1"/>
              </a:solidFill>
            </a:rPr>
            <a:t>No</a:t>
          </a:r>
          <a:r>
            <a:rPr lang="en-US" sz="1000" b="1" baseline="0">
              <a:solidFill>
                <a:schemeClr val="bg1"/>
              </a:solidFill>
            </a:rPr>
            <a:t> of Patient</a:t>
          </a:r>
          <a:endParaRPr lang="en-PK" sz="1000" b="1">
            <a:solidFill>
              <a:schemeClr val="bg1"/>
            </a:solidFill>
          </a:endParaRPr>
        </a:p>
      </xdr:txBody>
    </xdr:sp>
    <xdr:clientData/>
  </xdr:twoCellAnchor>
  <xdr:twoCellAnchor>
    <xdr:from>
      <xdr:col>1</xdr:col>
      <xdr:colOff>574430</xdr:colOff>
      <xdr:row>7</xdr:row>
      <xdr:rowOff>29307</xdr:rowOff>
    </xdr:from>
    <xdr:to>
      <xdr:col>4</xdr:col>
      <xdr:colOff>164123</xdr:colOff>
      <xdr:row>12</xdr:row>
      <xdr:rowOff>135792</xdr:rowOff>
    </xdr:to>
    <xdr:graphicFrame macro="">
      <xdr:nvGraphicFramePr>
        <xdr:cNvPr id="32" name="Chart 31">
          <a:hlinkClick xmlns:r="http://schemas.openxmlformats.org/officeDocument/2006/relationships" r:id="rId8"/>
          <a:extLst>
            <a:ext uri="{FF2B5EF4-FFF2-40B4-BE49-F238E27FC236}">
              <a16:creationId xmlns:a16="http://schemas.microsoft.com/office/drawing/2014/main" id="{5BECC535-B811-4D72-8E90-015C2B841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177800</xdr:colOff>
      <xdr:row>6</xdr:row>
      <xdr:rowOff>127000</xdr:rowOff>
    </xdr:from>
    <xdr:to>
      <xdr:col>6</xdr:col>
      <xdr:colOff>406400</xdr:colOff>
      <xdr:row>7</xdr:row>
      <xdr:rowOff>107950</xdr:rowOff>
    </xdr:to>
    <xdr:sp macro="" textlink="">
      <xdr:nvSpPr>
        <xdr:cNvPr id="27" name="TextBox 26">
          <a:extLst>
            <a:ext uri="{FF2B5EF4-FFF2-40B4-BE49-F238E27FC236}">
              <a16:creationId xmlns:a16="http://schemas.microsoft.com/office/drawing/2014/main" id="{EF7EAB04-A76B-417D-9A91-7DC3CC900B7E}"/>
            </a:ext>
          </a:extLst>
        </xdr:cNvPr>
        <xdr:cNvSpPr txBox="1"/>
      </xdr:nvSpPr>
      <xdr:spPr>
        <a:xfrm>
          <a:off x="2616200" y="1217246"/>
          <a:ext cx="1447800" cy="162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1">
              <a:solidFill>
                <a:schemeClr val="bg1"/>
              </a:solidFill>
            </a:rPr>
            <a:t>Average</a:t>
          </a:r>
          <a:r>
            <a:rPr lang="en-US" sz="1000" b="1" baseline="0">
              <a:solidFill>
                <a:schemeClr val="bg1"/>
              </a:solidFill>
            </a:rPr>
            <a:t> Wait time </a:t>
          </a:r>
          <a:endParaRPr lang="en-PK" sz="1000" b="1">
            <a:solidFill>
              <a:schemeClr val="bg1"/>
            </a:solidFill>
          </a:endParaRPr>
        </a:p>
      </xdr:txBody>
    </xdr:sp>
    <xdr:clientData/>
  </xdr:twoCellAnchor>
  <xdr:twoCellAnchor>
    <xdr:from>
      <xdr:col>4</xdr:col>
      <xdr:colOff>58615</xdr:colOff>
      <xdr:row>7</xdr:row>
      <xdr:rowOff>41030</xdr:rowOff>
    </xdr:from>
    <xdr:to>
      <xdr:col>6</xdr:col>
      <xdr:colOff>486507</xdr:colOff>
      <xdr:row>10</xdr:row>
      <xdr:rowOff>76199</xdr:rowOff>
    </xdr:to>
    <xdr:graphicFrame macro="">
      <xdr:nvGraphicFramePr>
        <xdr:cNvPr id="34" name="Chart 33">
          <a:hlinkClick xmlns:r="http://schemas.openxmlformats.org/officeDocument/2006/relationships" r:id="rId10"/>
          <a:extLst>
            <a:ext uri="{FF2B5EF4-FFF2-40B4-BE49-F238E27FC236}">
              <a16:creationId xmlns:a16="http://schemas.microsoft.com/office/drawing/2014/main" id="{703D5872-7BBC-4086-98D8-9477AD0E4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328246</xdr:colOff>
      <xdr:row>7</xdr:row>
      <xdr:rowOff>111370</xdr:rowOff>
    </xdr:from>
    <xdr:to>
      <xdr:col>9</xdr:col>
      <xdr:colOff>211016</xdr:colOff>
      <xdr:row>10</xdr:row>
      <xdr:rowOff>76200</xdr:rowOff>
    </xdr:to>
    <xdr:graphicFrame macro="">
      <xdr:nvGraphicFramePr>
        <xdr:cNvPr id="35" name="Chart 34">
          <a:hlinkClick xmlns:r="http://schemas.openxmlformats.org/officeDocument/2006/relationships" r:id="rId12"/>
          <a:extLst>
            <a:ext uri="{FF2B5EF4-FFF2-40B4-BE49-F238E27FC236}">
              <a16:creationId xmlns:a16="http://schemas.microsoft.com/office/drawing/2014/main" id="{B3686F5A-6F55-425B-A2AF-7CC3E6E7B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105509</xdr:colOff>
      <xdr:row>13</xdr:row>
      <xdr:rowOff>93785</xdr:rowOff>
    </xdr:from>
    <xdr:to>
      <xdr:col>8</xdr:col>
      <xdr:colOff>574431</xdr:colOff>
      <xdr:row>20</xdr:row>
      <xdr:rowOff>29307</xdr:rowOff>
    </xdr:to>
    <xdr:graphicFrame macro="">
      <xdr:nvGraphicFramePr>
        <xdr:cNvPr id="36" name="Chart 35">
          <a:extLst>
            <a:ext uri="{FF2B5EF4-FFF2-40B4-BE49-F238E27FC236}">
              <a16:creationId xmlns:a16="http://schemas.microsoft.com/office/drawing/2014/main" id="{62818DD9-E302-47DA-8A5F-25CC06CCE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5862</xdr:colOff>
      <xdr:row>20</xdr:row>
      <xdr:rowOff>35171</xdr:rowOff>
    </xdr:from>
    <xdr:to>
      <xdr:col>6</xdr:col>
      <xdr:colOff>319441</xdr:colOff>
      <xdr:row>21</xdr:row>
      <xdr:rowOff>16474</xdr:rowOff>
    </xdr:to>
    <xdr:sp macro="" textlink="">
      <xdr:nvSpPr>
        <xdr:cNvPr id="47" name="TextBox 46">
          <a:extLst>
            <a:ext uri="{FF2B5EF4-FFF2-40B4-BE49-F238E27FC236}">
              <a16:creationId xmlns:a16="http://schemas.microsoft.com/office/drawing/2014/main" id="{E2490281-F0EF-4556-B150-AB1A2523A623}"/>
            </a:ext>
          </a:extLst>
        </xdr:cNvPr>
        <xdr:cNvSpPr txBox="1"/>
      </xdr:nvSpPr>
      <xdr:spPr>
        <a:xfrm>
          <a:off x="2444262" y="3669325"/>
          <a:ext cx="1532779" cy="163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1">
              <a:solidFill>
                <a:schemeClr val="bg1"/>
              </a:solidFill>
            </a:rPr>
            <a:t>No</a:t>
          </a:r>
          <a:r>
            <a:rPr lang="en-US" sz="900" b="1" baseline="0">
              <a:solidFill>
                <a:schemeClr val="bg1"/>
              </a:solidFill>
            </a:rPr>
            <a:t> of Patient By Age Group</a:t>
          </a:r>
          <a:endParaRPr lang="en-PK" sz="900" b="1">
            <a:solidFill>
              <a:schemeClr val="bg1"/>
            </a:solidFill>
          </a:endParaRPr>
        </a:p>
      </xdr:txBody>
    </xdr:sp>
    <xdr:clientData/>
  </xdr:twoCellAnchor>
  <xdr:twoCellAnchor>
    <xdr:from>
      <xdr:col>9</xdr:col>
      <xdr:colOff>234462</xdr:colOff>
      <xdr:row>0</xdr:row>
      <xdr:rowOff>58613</xdr:rowOff>
    </xdr:from>
    <xdr:to>
      <xdr:col>11</xdr:col>
      <xdr:colOff>592015</xdr:colOff>
      <xdr:row>8</xdr:row>
      <xdr:rowOff>23446</xdr:rowOff>
    </xdr:to>
    <xdr:graphicFrame macro="">
      <xdr:nvGraphicFramePr>
        <xdr:cNvPr id="48" name="Chart 47">
          <a:extLst>
            <a:ext uri="{FF2B5EF4-FFF2-40B4-BE49-F238E27FC236}">
              <a16:creationId xmlns:a16="http://schemas.microsoft.com/office/drawing/2014/main" id="{142366E1-3CFF-4456-9C25-6F7A21F32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23446</xdr:colOff>
          <xdr:row>10</xdr:row>
          <xdr:rowOff>21521</xdr:rowOff>
        </xdr:from>
        <xdr:to>
          <xdr:col>9</xdr:col>
          <xdr:colOff>87924</xdr:colOff>
          <xdr:row>12</xdr:row>
          <xdr:rowOff>148298</xdr:rowOff>
        </xdr:to>
        <xdr:pic>
          <xdr:nvPicPr>
            <xdr:cNvPr id="52" name="Picture 51">
              <a:extLst>
                <a:ext uri="{FF2B5EF4-FFF2-40B4-BE49-F238E27FC236}">
                  <a16:creationId xmlns:a16="http://schemas.microsoft.com/office/drawing/2014/main" id="{CA7B4B7D-4AFA-4D47-A438-B5EF9C633E01}"/>
                </a:ext>
              </a:extLst>
            </xdr:cNvPr>
            <xdr:cNvPicPr>
              <a:picLocks noChangeAspect="1" noChangeArrowheads="1"/>
              <a:extLst>
                <a:ext uri="{84589F7E-364E-4C9E-8A38-B11213B215E9}">
                  <a14:cameraTool cellRange="'Pivot-Report'!$A$24:$D$26" spid="_x0000_s1105"/>
                </a:ext>
              </a:extLst>
            </xdr:cNvPicPr>
          </xdr:nvPicPr>
          <xdr:blipFill>
            <a:blip xmlns:r="http://schemas.openxmlformats.org/officeDocument/2006/relationships" r:embed="rId16"/>
            <a:srcRect/>
            <a:stretch>
              <a:fillRect/>
            </a:stretch>
          </xdr:blipFill>
          <xdr:spPr bwMode="auto">
            <a:xfrm>
              <a:off x="1242646" y="1838598"/>
              <a:ext cx="4331678" cy="490192"/>
            </a:xfrm>
            <a:prstGeom prst="roundRect">
              <a:avLst>
                <a:gd name="adj" fmla="val 16667"/>
              </a:avLst>
            </a:prstGeom>
            <a:solidFill>
              <a:schemeClr val="accent6">
                <a:lumMod val="75000"/>
              </a:schemeClr>
            </a:solidFill>
            <a:ln>
              <a:noFill/>
            </a:ln>
            <a:scene3d>
              <a:camera prst="orthographicFront"/>
              <a:lightRig rig="threePt" dir="t"/>
            </a:scene3d>
            <a:sp3d>
              <a:bevelT/>
            </a:sp3d>
          </xdr:spPr>
        </xdr:pic>
        <xdr:clientData/>
      </xdr:twoCellAnchor>
    </mc:Choice>
    <mc:Fallback/>
  </mc:AlternateContent>
  <xdr:twoCellAnchor editAs="absolute">
    <xdr:from>
      <xdr:col>11</xdr:col>
      <xdr:colOff>578337</xdr:colOff>
      <xdr:row>0</xdr:row>
      <xdr:rowOff>130419</xdr:rowOff>
    </xdr:from>
    <xdr:to>
      <xdr:col>14</xdr:col>
      <xdr:colOff>339968</xdr:colOff>
      <xdr:row>8</xdr:row>
      <xdr:rowOff>41030</xdr:rowOff>
    </xdr:to>
    <xdr:sp macro="" textlink="">
      <xdr:nvSpPr>
        <xdr:cNvPr id="53" name="Rectangle: Rounded Corners 52">
          <a:extLst>
            <a:ext uri="{FF2B5EF4-FFF2-40B4-BE49-F238E27FC236}">
              <a16:creationId xmlns:a16="http://schemas.microsoft.com/office/drawing/2014/main" id="{D5EC1EE2-601E-4363-B24F-C71FC5D5F5DD}"/>
            </a:ext>
          </a:extLst>
        </xdr:cNvPr>
        <xdr:cNvSpPr/>
      </xdr:nvSpPr>
      <xdr:spPr>
        <a:xfrm>
          <a:off x="7283937" y="130419"/>
          <a:ext cx="1590431" cy="1364273"/>
        </a:xfrm>
        <a:prstGeom prst="roundRect">
          <a:avLst>
            <a:gd name="adj" fmla="val 6219"/>
          </a:avLst>
        </a:prstGeom>
        <a:solidFill>
          <a:schemeClr val="accent6">
            <a:lumMod val="75000"/>
          </a:scheme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PK" sz="1100">
            <a:solidFill>
              <a:schemeClr val="lt1"/>
            </a:solidFill>
            <a:latin typeface="+mn-lt"/>
            <a:ea typeface="+mn-ea"/>
            <a:cs typeface="+mn-cs"/>
          </a:endParaRPr>
        </a:p>
      </xdr:txBody>
    </xdr:sp>
    <xdr:clientData/>
  </xdr:twoCellAnchor>
  <xdr:twoCellAnchor>
    <xdr:from>
      <xdr:col>9</xdr:col>
      <xdr:colOff>281355</xdr:colOff>
      <xdr:row>7</xdr:row>
      <xdr:rowOff>11724</xdr:rowOff>
    </xdr:from>
    <xdr:to>
      <xdr:col>11</xdr:col>
      <xdr:colOff>594934</xdr:colOff>
      <xdr:row>7</xdr:row>
      <xdr:rowOff>174735</xdr:rowOff>
    </xdr:to>
    <xdr:sp macro="" textlink="">
      <xdr:nvSpPr>
        <xdr:cNvPr id="54" name="TextBox 53">
          <a:extLst>
            <a:ext uri="{FF2B5EF4-FFF2-40B4-BE49-F238E27FC236}">
              <a16:creationId xmlns:a16="http://schemas.microsoft.com/office/drawing/2014/main" id="{9538938A-2D52-43D9-9FF3-F0B2FFF38B84}"/>
            </a:ext>
          </a:extLst>
        </xdr:cNvPr>
        <xdr:cNvSpPr txBox="1"/>
      </xdr:nvSpPr>
      <xdr:spPr>
        <a:xfrm>
          <a:off x="5767755" y="1283678"/>
          <a:ext cx="1532779" cy="163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1">
              <a:solidFill>
                <a:schemeClr val="bg1"/>
              </a:solidFill>
            </a:rPr>
            <a:t>Patient</a:t>
          </a:r>
          <a:r>
            <a:rPr lang="en-US" sz="900" b="1" baseline="0">
              <a:solidFill>
                <a:schemeClr val="bg1"/>
              </a:solidFill>
            </a:rPr>
            <a:t> Attended Status</a:t>
          </a:r>
          <a:endParaRPr lang="en-PK" sz="900" b="1">
            <a:solidFill>
              <a:schemeClr val="bg1"/>
            </a:solidFill>
          </a:endParaRPr>
        </a:p>
      </xdr:txBody>
    </xdr:sp>
    <xdr:clientData/>
  </xdr:twoCellAnchor>
  <xdr:twoCellAnchor>
    <xdr:from>
      <xdr:col>12</xdr:col>
      <xdr:colOff>76200</xdr:colOff>
      <xdr:row>0</xdr:row>
      <xdr:rowOff>99646</xdr:rowOff>
    </xdr:from>
    <xdr:to>
      <xdr:col>14</xdr:col>
      <xdr:colOff>234461</xdr:colOff>
      <xdr:row>7</xdr:row>
      <xdr:rowOff>117230</xdr:rowOff>
    </xdr:to>
    <xdr:graphicFrame macro="">
      <xdr:nvGraphicFramePr>
        <xdr:cNvPr id="55" name="Chart 54">
          <a:extLst>
            <a:ext uri="{FF2B5EF4-FFF2-40B4-BE49-F238E27FC236}">
              <a16:creationId xmlns:a16="http://schemas.microsoft.com/office/drawing/2014/main" id="{AA3FD275-2931-4180-9052-3DE619BB0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2</xdr:colOff>
      <xdr:row>7</xdr:row>
      <xdr:rowOff>23447</xdr:rowOff>
    </xdr:from>
    <xdr:to>
      <xdr:col>14</xdr:col>
      <xdr:colOff>313581</xdr:colOff>
      <xdr:row>8</xdr:row>
      <xdr:rowOff>4750</xdr:rowOff>
    </xdr:to>
    <xdr:sp macro="" textlink="">
      <xdr:nvSpPr>
        <xdr:cNvPr id="57" name="TextBox 56">
          <a:extLst>
            <a:ext uri="{FF2B5EF4-FFF2-40B4-BE49-F238E27FC236}">
              <a16:creationId xmlns:a16="http://schemas.microsoft.com/office/drawing/2014/main" id="{14DFD90D-DCD8-4483-B08E-38EAB422CBD3}"/>
            </a:ext>
          </a:extLst>
        </xdr:cNvPr>
        <xdr:cNvSpPr txBox="1"/>
      </xdr:nvSpPr>
      <xdr:spPr>
        <a:xfrm>
          <a:off x="7315202" y="1295401"/>
          <a:ext cx="1532779" cy="163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1">
              <a:solidFill>
                <a:schemeClr val="bg1"/>
              </a:solidFill>
            </a:rPr>
            <a:t>Gender</a:t>
          </a:r>
          <a:r>
            <a:rPr lang="en-US" sz="900" b="1" baseline="0">
              <a:solidFill>
                <a:schemeClr val="bg1"/>
              </a:solidFill>
            </a:rPr>
            <a:t> Wise Analysis</a:t>
          </a:r>
          <a:endParaRPr lang="en-PK" sz="900" b="1">
            <a:solidFill>
              <a:schemeClr val="bg1"/>
            </a:solidFill>
          </a:endParaRPr>
        </a:p>
      </xdr:txBody>
    </xdr:sp>
    <xdr:clientData/>
  </xdr:twoCellAnchor>
  <xdr:twoCellAnchor>
    <xdr:from>
      <xdr:col>9</xdr:col>
      <xdr:colOff>228601</xdr:colOff>
      <xdr:row>8</xdr:row>
      <xdr:rowOff>128953</xdr:rowOff>
    </xdr:from>
    <xdr:to>
      <xdr:col>14</xdr:col>
      <xdr:colOff>375139</xdr:colOff>
      <xdr:row>19</xdr:row>
      <xdr:rowOff>169985</xdr:rowOff>
    </xdr:to>
    <xdr:graphicFrame macro="">
      <xdr:nvGraphicFramePr>
        <xdr:cNvPr id="58" name="Chart 57">
          <a:extLst>
            <a:ext uri="{FF2B5EF4-FFF2-40B4-BE49-F238E27FC236}">
              <a16:creationId xmlns:a16="http://schemas.microsoft.com/office/drawing/2014/main" id="{3D33E6A8-F42F-4EA2-A28E-C3628A561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175847</xdr:colOff>
      <xdr:row>19</xdr:row>
      <xdr:rowOff>169984</xdr:rowOff>
    </xdr:from>
    <xdr:to>
      <xdr:col>13</xdr:col>
      <xdr:colOff>363415</xdr:colOff>
      <xdr:row>21</xdr:row>
      <xdr:rowOff>4749</xdr:rowOff>
    </xdr:to>
    <xdr:sp macro="" textlink="">
      <xdr:nvSpPr>
        <xdr:cNvPr id="61" name="TextBox 60">
          <a:extLst>
            <a:ext uri="{FF2B5EF4-FFF2-40B4-BE49-F238E27FC236}">
              <a16:creationId xmlns:a16="http://schemas.microsoft.com/office/drawing/2014/main" id="{F3AFAB20-82F1-4B3E-BCF8-AADAF5B00C3D}"/>
            </a:ext>
          </a:extLst>
        </xdr:cNvPr>
        <xdr:cNvSpPr txBox="1"/>
      </xdr:nvSpPr>
      <xdr:spPr>
        <a:xfrm>
          <a:off x="6271847" y="3622430"/>
          <a:ext cx="2016368" cy="198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1">
              <a:solidFill>
                <a:schemeClr val="bg1"/>
              </a:solidFill>
            </a:rPr>
            <a:t>No</a:t>
          </a:r>
          <a:r>
            <a:rPr lang="en-US" sz="900" b="1" baseline="0">
              <a:solidFill>
                <a:schemeClr val="bg1"/>
              </a:solidFill>
            </a:rPr>
            <a:t> of Patient by Department Referal</a:t>
          </a:r>
          <a:endParaRPr lang="en-PK" sz="900" b="1">
            <a:solidFill>
              <a:schemeClr val="bg1"/>
            </a:solidFill>
          </a:endParaRPr>
        </a:p>
      </xdr:txBody>
    </xdr:sp>
    <xdr:clientData/>
  </xdr:twoCellAnchor>
  <xdr:twoCellAnchor editAs="oneCell">
    <xdr:from>
      <xdr:col>6</xdr:col>
      <xdr:colOff>451337</xdr:colOff>
      <xdr:row>1</xdr:row>
      <xdr:rowOff>64477</xdr:rowOff>
    </xdr:from>
    <xdr:to>
      <xdr:col>9</xdr:col>
      <xdr:colOff>23446</xdr:colOff>
      <xdr:row>3</xdr:row>
      <xdr:rowOff>169985</xdr:rowOff>
    </xdr:to>
    <mc:AlternateContent xmlns:mc="http://schemas.openxmlformats.org/markup-compatibility/2006" xmlns:a14="http://schemas.microsoft.com/office/drawing/2010/main">
      <mc:Choice Requires="a14">
        <xdr:graphicFrame macro="">
          <xdr:nvGraphicFramePr>
            <xdr:cNvPr id="62" name="Date (Year)">
              <a:extLst>
                <a:ext uri="{FF2B5EF4-FFF2-40B4-BE49-F238E27FC236}">
                  <a16:creationId xmlns:a16="http://schemas.microsoft.com/office/drawing/2014/main" id="{89F36B09-C2F9-420D-8BF7-7AB0BD8851A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108937" y="216877"/>
              <a:ext cx="1424025" cy="498231"/>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0</xdr:row>
      <xdr:rowOff>0</xdr:rowOff>
    </xdr:from>
    <xdr:to>
      <xdr:col>20</xdr:col>
      <xdr:colOff>396240</xdr:colOff>
      <xdr:row>24</xdr:row>
      <xdr:rowOff>22860</xdr:rowOff>
    </xdr:to>
    <xdr:graphicFrame macro="">
      <xdr:nvGraphicFramePr>
        <xdr:cNvPr id="3" name="Chart 2">
          <a:extLst>
            <a:ext uri="{FF2B5EF4-FFF2-40B4-BE49-F238E27FC236}">
              <a16:creationId xmlns:a16="http://schemas.microsoft.com/office/drawing/2014/main" id="{139FC77B-D834-4299-865F-7EA7D2C1F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251461</xdr:colOff>
      <xdr:row>0</xdr:row>
      <xdr:rowOff>91440</xdr:rowOff>
    </xdr:from>
    <xdr:to>
      <xdr:col>1</xdr:col>
      <xdr:colOff>137161</xdr:colOff>
      <xdr:row>3</xdr:row>
      <xdr:rowOff>34776</xdr:rowOff>
    </xdr:to>
    <xdr:pic>
      <xdr:nvPicPr>
        <xdr:cNvPr id="4" name="Picture 3">
          <a:hlinkClick xmlns:r="http://schemas.openxmlformats.org/officeDocument/2006/relationships" r:id="rId2"/>
          <a:extLst>
            <a:ext uri="{FF2B5EF4-FFF2-40B4-BE49-F238E27FC236}">
              <a16:creationId xmlns:a16="http://schemas.microsoft.com/office/drawing/2014/main" id="{027F5F37-B86D-4972-9C82-FD3BD96BEA1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1461" y="91440"/>
          <a:ext cx="495300" cy="4919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579120</xdr:colOff>
      <xdr:row>24</xdr:row>
      <xdr:rowOff>160020</xdr:rowOff>
    </xdr:to>
    <xdr:graphicFrame macro="">
      <xdr:nvGraphicFramePr>
        <xdr:cNvPr id="3" name="Chart 2">
          <a:extLst>
            <a:ext uri="{FF2B5EF4-FFF2-40B4-BE49-F238E27FC236}">
              <a16:creationId xmlns:a16="http://schemas.microsoft.com/office/drawing/2014/main" id="{B0490977-5CCE-4030-9484-BC00E52A1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213360</xdr:colOff>
      <xdr:row>0</xdr:row>
      <xdr:rowOff>121920</xdr:rowOff>
    </xdr:from>
    <xdr:to>
      <xdr:col>1</xdr:col>
      <xdr:colOff>99060</xdr:colOff>
      <xdr:row>3</xdr:row>
      <xdr:rowOff>65256</xdr:rowOff>
    </xdr:to>
    <xdr:pic>
      <xdr:nvPicPr>
        <xdr:cNvPr id="4" name="Picture 3">
          <a:hlinkClick xmlns:r="http://schemas.openxmlformats.org/officeDocument/2006/relationships" r:id="rId2"/>
          <a:extLst>
            <a:ext uri="{FF2B5EF4-FFF2-40B4-BE49-F238E27FC236}">
              <a16:creationId xmlns:a16="http://schemas.microsoft.com/office/drawing/2014/main" id="{9DB5140C-E7B6-4475-945C-550E3DFBA39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13360" y="121920"/>
          <a:ext cx="495300" cy="4919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304800</xdr:colOff>
      <xdr:row>24</xdr:row>
      <xdr:rowOff>99060</xdr:rowOff>
    </xdr:to>
    <xdr:graphicFrame macro="">
      <xdr:nvGraphicFramePr>
        <xdr:cNvPr id="4" name="Chart 3">
          <a:extLst>
            <a:ext uri="{FF2B5EF4-FFF2-40B4-BE49-F238E27FC236}">
              <a16:creationId xmlns:a16="http://schemas.microsoft.com/office/drawing/2014/main" id="{9130F4C2-FEAF-4AD6-9BD7-23FDEF434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129540</xdr:colOff>
      <xdr:row>0</xdr:row>
      <xdr:rowOff>99060</xdr:rowOff>
    </xdr:from>
    <xdr:to>
      <xdr:col>1</xdr:col>
      <xdr:colOff>15240</xdr:colOff>
      <xdr:row>3</xdr:row>
      <xdr:rowOff>42396</xdr:rowOff>
    </xdr:to>
    <xdr:pic>
      <xdr:nvPicPr>
        <xdr:cNvPr id="5" name="Picture 4">
          <a:hlinkClick xmlns:r="http://schemas.openxmlformats.org/officeDocument/2006/relationships" r:id="rId2"/>
          <a:extLst>
            <a:ext uri="{FF2B5EF4-FFF2-40B4-BE49-F238E27FC236}">
              <a16:creationId xmlns:a16="http://schemas.microsoft.com/office/drawing/2014/main" id="{D4F869A1-1E3C-41CD-B653-76C641CBD80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9540" y="99060"/>
          <a:ext cx="495300" cy="49197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M Asghar" refreshedDate="46289.473697337962" createdVersion="5" refreshedVersion="7" minRefreshableVersion="3" recordCount="0" supportSubquery="1" supportAdvancedDrill="1" xr:uid="{861F64D1-BB51-426C-85CA-7BB746126B9D}">
  <cacheSource type="external" connectionId="3"/>
  <cacheFields count="4">
    <cacheField name="[Calender_Table].[Date (Month)].[Date (Month)]" caption="Date (Month)" numFmtId="0" hierarchy="1" level="1">
      <sharedItems count="1">
        <s v="Jul"/>
      </sharedItems>
    </cacheField>
    <cacheField name="[Measures].[Distinct Count of Patient Id]" caption="Distinct Count of Patient Id" numFmtId="0" hierarchy="25" level="32767"/>
    <cacheField name="[Calender_Table].[Date].[Date]" caption="Date" numFmtId="0" level="1">
      <sharedItems containsSemiMixedTypes="0" containsNonDate="0" containsDate="1" containsString="0" minDate="2023-05-03T00:00:00" maxDate="2024-05-04T00:00:00" count="2">
        <d v="2023-05-03T00:00:00"/>
        <d v="2024-05-03T00:00:00"/>
      </sharedItems>
    </cacheField>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2"/>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3"/>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Final].[Patient Id]" caption="Patient Id" attribute="1" defaultMemberUniqueName="[Hospital Emergency Room Data-Final].[Patient Id].[All]" allUniqueName="[Hospital Emergency Room Data-Final].[Patient Id].[All]" dimensionUniqueName="[Hospital Emergency Room Data-Final]" displayFolder="" count="0" memberValueDatatype="130" unbalanced="0"/>
    <cacheHierarchy uniqueName="[Hospital Emergency Room Data-Final].[Patient Admission Date.1]" caption="Patient Admission Date.1" attribute="1" time="1" defaultMemberUniqueName="[Hospital Emergency Room Data-Final].[Patient Admission Date.1].[All]" allUniqueName="[Hospital Emergency Room Data-Final].[Patient Admission Date.1].[All]" dimensionUniqueName="[Hospital Emergency Room Data-Final]" displayFolder="" count="0" memberValueDatatype="7" unbalanced="0"/>
    <cacheHierarchy uniqueName="[Hospital Emergency Room Data-Final].[Patient Admission Date.2]" caption="Patient Admission Date.2" attribute="1" time="1" defaultMemberUniqueName="[Hospital Emergency Room Data-Final].[Patient Admission Date.2].[All]" allUniqueName="[Hospital Emergency Room Data-Final].[Patient Admission Date.2].[All]" dimensionUniqueName="[Hospital Emergency Room Data-Final]" displayFolder="" count="0" memberValueDatatype="7" unbalanced="0"/>
    <cacheHierarchy uniqueName="[Hospital Emergency Room Data-Final].[Patient Admission Date.3]" caption="Patient Admission Date.3" attribute="1" defaultMemberUniqueName="[Hospital Emergency Room Data-Final].[Patient Admission Date.3].[All]" allUniqueName="[Hospital Emergency Room Data-Final].[Patient Admission Date.3].[All]" dimensionUniqueName="[Hospital Emergency Room Data-Final]" displayFolder="" count="0" memberValueDatatype="130" unbalanced="0"/>
    <cacheHierarchy uniqueName="[Hospital Emergency Room Data-Final].[Merged]" caption="Merged" attribute="1" defaultMemberUniqueName="[Hospital Emergency Room Data-Final].[Merged].[All]" allUniqueName="[Hospital Emergency Room Data-Final].[Merged].[All]" dimensionUniqueName="[Hospital Emergency Room Data-Final]" displayFolder="" count="0" memberValueDatatype="130" unbalanced="0"/>
    <cacheHierarchy uniqueName="[Hospital Emergency Room Data-Final].[Patient Gender]" caption="Patient Gender" attribute="1" defaultMemberUniqueName="[Hospital Emergency Room Data-Final].[Patient Gender].[All]" allUniqueName="[Hospital Emergency Room Data-Final].[Patient Gender].[All]" dimensionUniqueName="[Hospital Emergency Room Data-Final]" displayFolder="" count="0" memberValueDatatype="130" unbalanced="0"/>
    <cacheHierarchy uniqueName="[Hospital Emergency Room Data-Final].[Patient Age]" caption="Patient Age" attribute="1" defaultMemberUniqueName="[Hospital Emergency Room Data-Final].[Patient Age].[All]" allUniqueName="[Hospital Emergency Room Data-Final].[Patient Age].[All]" dimensionUniqueName="[Hospital Emergency Room Data-Final]" displayFolder="" count="0" memberValueDatatype="20" unbalanced="0"/>
    <cacheHierarchy uniqueName="[Hospital Emergency Room Data-Final].[Patient Race]" caption="Patient Race" attribute="1" defaultMemberUniqueName="[Hospital Emergency Room Data-Final].[Patient Race].[All]" allUniqueName="[Hospital Emergency Room Data-Final].[Patient Race].[All]" dimensionUniqueName="[Hospital Emergency Room Data-Final]" displayFolder="" count="0" memberValueDatatype="130" unbalanced="0"/>
    <cacheHierarchy uniqueName="[Hospital Emergency Room Data-Final].[Department Referral]" caption="Department Referral" attribute="1" defaultMemberUniqueName="[Hospital Emergency Room Data-Final].[Department Referral].[All]" allUniqueName="[Hospital Emergency Room Data-Final].[Department Referral].[All]" dimensionUniqueName="[Hospital Emergency Room Data-Final]" displayFolder="" count="0" memberValueDatatype="130" unbalanced="0"/>
    <cacheHierarchy uniqueName="[Hospital Emergency Room Data-Final].[Patient Admission Flag]" caption="Patient Admission Flag" attribute="1" defaultMemberUniqueName="[Hospital Emergency Room Data-Final].[Patient Admission Flag].[All]" allUniqueName="[Hospital Emergency Room Data-Final].[Patient Admission Flag].[All]" dimensionUniqueName="[Hospital Emergency Room Data-Final]" displayFolder="" count="0" memberValueDatatype="130" unbalanced="0"/>
    <cacheHierarchy uniqueName="[Hospital Emergency Room Data-Final].[Patient Satisfaction Score]" caption="Patient Satisfaction Score" attribute="1" defaultMemberUniqueName="[Hospital Emergency Room Data-Final].[Patient Satisfaction Score].[All]" allUniqueName="[Hospital Emergency Room Data-Final].[Patient Satisfaction Score].[All]" dimensionUniqueName="[Hospital Emergency Room Data-Final]" displayFolder="" count="0" memberValueDatatype="20" unbalanced="0"/>
    <cacheHierarchy uniqueName="[Hospital Emergency Room Data-Final].[Patient Waittime]" caption="Patient Waittime" attribute="1" defaultMemberUniqueName="[Hospital Emergency Room Data-Final].[Patient Waittime].[All]" allUniqueName="[Hospital Emergency Room Data-Final].[Patient Waittime].[All]" dimensionUniqueName="[Hospital Emergency Room Data-Final]" displayFolder="" count="0" memberValueDatatype="20" unbalanced="0"/>
    <cacheHierarchy uniqueName="[Hospital Emergency Room Data-Final].[Age Group]" caption="Age Group" attribute="1" defaultMemberUniqueName="[Hospital Emergency Room Data-Final].[Age Group].[All]" allUniqueName="[Hospital Emergency Room Data-Final].[Age Group].[All]" dimensionUniqueName="[Hospital Emergency Room Data-Final]" displayFolder="" count="0" memberValueDatatype="130" unbalanced="0"/>
    <cacheHierarchy uniqueName="[Hospital Emergency Room Data-Final].[Patient Attend Status]" caption="Patient Attend Status" attribute="1" defaultMemberUniqueName="[Hospital Emergency Room Data-Final].[Patient Attend Status].[All]" allUniqueName="[Hospital Emergency Room Data-Final].[Patient Attend Status].[All]" dimensionUniqueName="[Hospital Emergency Room Data-Final]"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Final]" caption="__XL_Count Hospital Emergency Room Data-Final" measure="1" displayFolder="" measureGroup="Hospital Emergency Room Data-Final"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Final"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Final"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Final"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Final"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Final"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Final"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Final"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Final" uniqueName="[Hospital Emergency Room Data-Final]" caption="Hospital Emergency Room Data-Final"/>
    <dimension measure="1" name="Measures" uniqueName="[Measures]" caption="Measures"/>
  </dimensions>
  <measureGroups count="2">
    <measureGroup name="Calender_Table" caption="Calender_Table"/>
    <measureGroup name="Hospital Emergency Room Data-Final" caption="Hospital Emergency Room Data-Fin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M Asghar" refreshedDate="46289.473701620373" createdVersion="5" refreshedVersion="7" minRefreshableVersion="3" recordCount="0" supportSubquery="1" supportAdvancedDrill="1" xr:uid="{A01D2C9D-D74A-4F2B-A470-C3EB420449AD}">
  <cacheSource type="external" connectionId="3"/>
  <cacheFields count="2">
    <cacheField name="[Measures].[Distinct Count of Patient Id]" caption="Distinct Count of Patient Id" numFmtId="0" hierarchy="25" level="32767"/>
    <cacheField name="[Calender_Table].[Date (Month)].[Date (Month)]" caption="Date (Month)" numFmtId="0" hierarchy="1"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Final].[Patient Id]" caption="Patient Id" attribute="1" defaultMemberUniqueName="[Hospital Emergency Room Data-Final].[Patient Id].[All]" allUniqueName="[Hospital Emergency Room Data-Final].[Patient Id].[All]" dimensionUniqueName="[Hospital Emergency Room Data-Final]" displayFolder="" count="0" memberValueDatatype="130" unbalanced="0"/>
    <cacheHierarchy uniqueName="[Hospital Emergency Room Data-Final].[Patient Admission Date.1]" caption="Patient Admission Date.1" attribute="1" time="1" defaultMemberUniqueName="[Hospital Emergency Room Data-Final].[Patient Admission Date.1].[All]" allUniqueName="[Hospital Emergency Room Data-Final].[Patient Admission Date.1].[All]" dimensionUniqueName="[Hospital Emergency Room Data-Final]" displayFolder="" count="0" memberValueDatatype="7" unbalanced="0"/>
    <cacheHierarchy uniqueName="[Hospital Emergency Room Data-Final].[Patient Admission Date.2]" caption="Patient Admission Date.2" attribute="1" time="1" defaultMemberUniqueName="[Hospital Emergency Room Data-Final].[Patient Admission Date.2].[All]" allUniqueName="[Hospital Emergency Room Data-Final].[Patient Admission Date.2].[All]" dimensionUniqueName="[Hospital Emergency Room Data-Final]" displayFolder="" count="0" memberValueDatatype="7" unbalanced="0"/>
    <cacheHierarchy uniqueName="[Hospital Emergency Room Data-Final].[Patient Admission Date.3]" caption="Patient Admission Date.3" attribute="1" defaultMemberUniqueName="[Hospital Emergency Room Data-Final].[Patient Admission Date.3].[All]" allUniqueName="[Hospital Emergency Room Data-Final].[Patient Admission Date.3].[All]" dimensionUniqueName="[Hospital Emergency Room Data-Final]" displayFolder="" count="0" memberValueDatatype="130" unbalanced="0"/>
    <cacheHierarchy uniqueName="[Hospital Emergency Room Data-Final].[Merged]" caption="Merged" attribute="1" defaultMemberUniqueName="[Hospital Emergency Room Data-Final].[Merged].[All]" allUniqueName="[Hospital Emergency Room Data-Final].[Merged].[All]" dimensionUniqueName="[Hospital Emergency Room Data-Final]" displayFolder="" count="0" memberValueDatatype="130" unbalanced="0"/>
    <cacheHierarchy uniqueName="[Hospital Emergency Room Data-Final].[Patient Gender]" caption="Patient Gender" attribute="1" defaultMemberUniqueName="[Hospital Emergency Room Data-Final].[Patient Gender].[All]" allUniqueName="[Hospital Emergency Room Data-Final].[Patient Gender].[All]" dimensionUniqueName="[Hospital Emergency Room Data-Final]" displayFolder="" count="0" memberValueDatatype="130" unbalanced="0"/>
    <cacheHierarchy uniqueName="[Hospital Emergency Room Data-Final].[Patient Age]" caption="Patient Age" attribute="1" defaultMemberUniqueName="[Hospital Emergency Room Data-Final].[Patient Age].[All]" allUniqueName="[Hospital Emergency Room Data-Final].[Patient Age].[All]" dimensionUniqueName="[Hospital Emergency Room Data-Final]" displayFolder="" count="0" memberValueDatatype="20" unbalanced="0"/>
    <cacheHierarchy uniqueName="[Hospital Emergency Room Data-Final].[Patient Race]" caption="Patient Race" attribute="1" defaultMemberUniqueName="[Hospital Emergency Room Data-Final].[Patient Race].[All]" allUniqueName="[Hospital Emergency Room Data-Final].[Patient Race].[All]" dimensionUniqueName="[Hospital Emergency Room Data-Final]" displayFolder="" count="0" memberValueDatatype="130" unbalanced="0"/>
    <cacheHierarchy uniqueName="[Hospital Emergency Room Data-Final].[Department Referral]" caption="Department Referral" attribute="1" defaultMemberUniqueName="[Hospital Emergency Room Data-Final].[Department Referral].[All]" allUniqueName="[Hospital Emergency Room Data-Final].[Department Referral].[All]" dimensionUniqueName="[Hospital Emergency Room Data-Final]" displayFolder="" count="0" memberValueDatatype="130" unbalanced="0"/>
    <cacheHierarchy uniqueName="[Hospital Emergency Room Data-Final].[Patient Admission Flag]" caption="Patient Admission Flag" attribute="1" defaultMemberUniqueName="[Hospital Emergency Room Data-Final].[Patient Admission Flag].[All]" allUniqueName="[Hospital Emergency Room Data-Final].[Patient Admission Flag].[All]" dimensionUniqueName="[Hospital Emergency Room Data-Final]" displayFolder="" count="0" memberValueDatatype="130" unbalanced="0"/>
    <cacheHierarchy uniqueName="[Hospital Emergency Room Data-Final].[Patient Satisfaction Score]" caption="Patient Satisfaction Score" attribute="1" defaultMemberUniqueName="[Hospital Emergency Room Data-Final].[Patient Satisfaction Score].[All]" allUniqueName="[Hospital Emergency Room Data-Final].[Patient Satisfaction Score].[All]" dimensionUniqueName="[Hospital Emergency Room Data-Final]" displayFolder="" count="0" memberValueDatatype="20" unbalanced="0"/>
    <cacheHierarchy uniqueName="[Hospital Emergency Room Data-Final].[Patient Waittime]" caption="Patient Waittime" attribute="1" defaultMemberUniqueName="[Hospital Emergency Room Data-Final].[Patient Waittime].[All]" allUniqueName="[Hospital Emergency Room Data-Final].[Patient Waittime].[All]" dimensionUniqueName="[Hospital Emergency Room Data-Final]" displayFolder="" count="0" memberValueDatatype="20" unbalanced="0"/>
    <cacheHierarchy uniqueName="[Hospital Emergency Room Data-Final].[Age Group]" caption="Age Group" attribute="1" defaultMemberUniqueName="[Hospital Emergency Room Data-Final].[Age Group].[All]" allUniqueName="[Hospital Emergency Room Data-Final].[Age Group].[All]" dimensionUniqueName="[Hospital Emergency Room Data-Final]" displayFolder="" count="0" memberValueDatatype="130" unbalanced="0"/>
    <cacheHierarchy uniqueName="[Hospital Emergency Room Data-Final].[Patient Attend Status]" caption="Patient Attend Status" attribute="1" defaultMemberUniqueName="[Hospital Emergency Room Data-Final].[Patient Attend Status].[All]" allUniqueName="[Hospital Emergency Room Data-Final].[Patient Attend Status].[All]" dimensionUniqueName="[Hospital Emergency Room Data-Final]"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Final]" caption="__XL_Count Hospital Emergency Room Data-Final" measure="1" displayFolder="" measureGroup="Hospital Emergency Room Data-Final"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Final"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Final"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Final"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Final"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Final"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Final"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Final"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Final" uniqueName="[Hospital Emergency Room Data-Final]" caption="Hospital Emergency Room Data-Final"/>
    <dimension measure="1" name="Measures" uniqueName="[Measures]" caption="Measures"/>
  </dimensions>
  <measureGroups count="2">
    <measureGroup name="Calender_Table" caption="Calender_Table"/>
    <measureGroup name="Hospital Emergency Room Data-Final" caption="Hospital Emergency Room Data-Fin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M Asghar" refreshedDate="46289.473705671298" createdVersion="5" refreshedVersion="7" minRefreshableVersion="3" recordCount="0" supportSubquery="1" supportAdvancedDrill="1" xr:uid="{F462801D-C732-46A7-9C71-B6A1FCC9933D}">
  <cacheSource type="external" connectionId="3"/>
  <cacheFields count="2">
    <cacheField name="[Measures].[Average of Patient Waittime]" caption="Average of Patient Waittime" numFmtId="0" hierarchy="27" level="32767"/>
    <cacheField name="[Calender_Table].[Date (Month)].[Date (Month)]" caption="Date (Month)" numFmtId="0" hierarchy="1"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Final].[Patient Id]" caption="Patient Id" attribute="1" defaultMemberUniqueName="[Hospital Emergency Room Data-Final].[Patient Id].[All]" allUniqueName="[Hospital Emergency Room Data-Final].[Patient Id].[All]" dimensionUniqueName="[Hospital Emergency Room Data-Final]" displayFolder="" count="0" memberValueDatatype="130" unbalanced="0"/>
    <cacheHierarchy uniqueName="[Hospital Emergency Room Data-Final].[Patient Admission Date.1]" caption="Patient Admission Date.1" attribute="1" time="1" defaultMemberUniqueName="[Hospital Emergency Room Data-Final].[Patient Admission Date.1].[All]" allUniqueName="[Hospital Emergency Room Data-Final].[Patient Admission Date.1].[All]" dimensionUniqueName="[Hospital Emergency Room Data-Final]" displayFolder="" count="0" memberValueDatatype="7" unbalanced="0"/>
    <cacheHierarchy uniqueName="[Hospital Emergency Room Data-Final].[Patient Admission Date.2]" caption="Patient Admission Date.2" attribute="1" time="1" defaultMemberUniqueName="[Hospital Emergency Room Data-Final].[Patient Admission Date.2].[All]" allUniqueName="[Hospital Emergency Room Data-Final].[Patient Admission Date.2].[All]" dimensionUniqueName="[Hospital Emergency Room Data-Final]" displayFolder="" count="0" memberValueDatatype="7" unbalanced="0"/>
    <cacheHierarchy uniqueName="[Hospital Emergency Room Data-Final].[Patient Admission Date.3]" caption="Patient Admission Date.3" attribute="1" defaultMemberUniqueName="[Hospital Emergency Room Data-Final].[Patient Admission Date.3].[All]" allUniqueName="[Hospital Emergency Room Data-Final].[Patient Admission Date.3].[All]" dimensionUniqueName="[Hospital Emergency Room Data-Final]" displayFolder="" count="0" memberValueDatatype="130" unbalanced="0"/>
    <cacheHierarchy uniqueName="[Hospital Emergency Room Data-Final].[Merged]" caption="Merged" attribute="1" defaultMemberUniqueName="[Hospital Emergency Room Data-Final].[Merged].[All]" allUniqueName="[Hospital Emergency Room Data-Final].[Merged].[All]" dimensionUniqueName="[Hospital Emergency Room Data-Final]" displayFolder="" count="0" memberValueDatatype="130" unbalanced="0"/>
    <cacheHierarchy uniqueName="[Hospital Emergency Room Data-Final].[Patient Gender]" caption="Patient Gender" attribute="1" defaultMemberUniqueName="[Hospital Emergency Room Data-Final].[Patient Gender].[All]" allUniqueName="[Hospital Emergency Room Data-Final].[Patient Gender].[All]" dimensionUniqueName="[Hospital Emergency Room Data-Final]" displayFolder="" count="0" memberValueDatatype="130" unbalanced="0"/>
    <cacheHierarchy uniqueName="[Hospital Emergency Room Data-Final].[Patient Age]" caption="Patient Age" attribute="1" defaultMemberUniqueName="[Hospital Emergency Room Data-Final].[Patient Age].[All]" allUniqueName="[Hospital Emergency Room Data-Final].[Patient Age].[All]" dimensionUniqueName="[Hospital Emergency Room Data-Final]" displayFolder="" count="0" memberValueDatatype="20" unbalanced="0"/>
    <cacheHierarchy uniqueName="[Hospital Emergency Room Data-Final].[Patient Race]" caption="Patient Race" attribute="1" defaultMemberUniqueName="[Hospital Emergency Room Data-Final].[Patient Race].[All]" allUniqueName="[Hospital Emergency Room Data-Final].[Patient Race].[All]" dimensionUniqueName="[Hospital Emergency Room Data-Final]" displayFolder="" count="0" memberValueDatatype="130" unbalanced="0"/>
    <cacheHierarchy uniqueName="[Hospital Emergency Room Data-Final].[Department Referral]" caption="Department Referral" attribute="1" defaultMemberUniqueName="[Hospital Emergency Room Data-Final].[Department Referral].[All]" allUniqueName="[Hospital Emergency Room Data-Final].[Department Referral].[All]" dimensionUniqueName="[Hospital Emergency Room Data-Final]" displayFolder="" count="0" memberValueDatatype="130" unbalanced="0"/>
    <cacheHierarchy uniqueName="[Hospital Emergency Room Data-Final].[Patient Admission Flag]" caption="Patient Admission Flag" attribute="1" defaultMemberUniqueName="[Hospital Emergency Room Data-Final].[Patient Admission Flag].[All]" allUniqueName="[Hospital Emergency Room Data-Final].[Patient Admission Flag].[All]" dimensionUniqueName="[Hospital Emergency Room Data-Final]" displayFolder="" count="0" memberValueDatatype="130" unbalanced="0"/>
    <cacheHierarchy uniqueName="[Hospital Emergency Room Data-Final].[Patient Satisfaction Score]" caption="Patient Satisfaction Score" attribute="1" defaultMemberUniqueName="[Hospital Emergency Room Data-Final].[Patient Satisfaction Score].[All]" allUniqueName="[Hospital Emergency Room Data-Final].[Patient Satisfaction Score].[All]" dimensionUniqueName="[Hospital Emergency Room Data-Final]" displayFolder="" count="0" memberValueDatatype="20" unbalanced="0"/>
    <cacheHierarchy uniqueName="[Hospital Emergency Room Data-Final].[Patient Waittime]" caption="Patient Waittime" attribute="1" defaultMemberUniqueName="[Hospital Emergency Room Data-Final].[Patient Waittime].[All]" allUniqueName="[Hospital Emergency Room Data-Final].[Patient Waittime].[All]" dimensionUniqueName="[Hospital Emergency Room Data-Final]" displayFolder="" count="0" memberValueDatatype="20" unbalanced="0"/>
    <cacheHierarchy uniqueName="[Hospital Emergency Room Data-Final].[Age Group]" caption="Age Group" attribute="1" defaultMemberUniqueName="[Hospital Emergency Room Data-Final].[Age Group].[All]" allUniqueName="[Hospital Emergency Room Data-Final].[Age Group].[All]" dimensionUniqueName="[Hospital Emergency Room Data-Final]" displayFolder="" count="0" memberValueDatatype="130" unbalanced="0"/>
    <cacheHierarchy uniqueName="[Hospital Emergency Room Data-Final].[Patient Attend Status]" caption="Patient Attend Status" attribute="1" defaultMemberUniqueName="[Hospital Emergency Room Data-Final].[Patient Attend Status].[All]" allUniqueName="[Hospital Emergency Room Data-Final].[Patient Attend Status].[All]" dimensionUniqueName="[Hospital Emergency Room Data-Final]"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Final]" caption="__XL_Count Hospital Emergency Room Data-Final" measure="1" displayFolder="" measureGroup="Hospital Emergency Room Data-Final"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Final"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Final"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Final"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Final"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Final"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Final"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Final"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Final" uniqueName="[Hospital Emergency Room Data-Final]" caption="Hospital Emergency Room Data-Final"/>
    <dimension measure="1" name="Measures" uniqueName="[Measures]" caption="Measures"/>
  </dimensions>
  <measureGroups count="2">
    <measureGroup name="Calender_Table" caption="Calender_Table"/>
    <measureGroup name="Hospital Emergency Room Data-Final" caption="Hospital Emergency Room Data-Fin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M Asghar" refreshedDate="46289.473709837963" createdVersion="5" refreshedVersion="7" minRefreshableVersion="3" recordCount="0" supportSubquery="1" supportAdvancedDrill="1" xr:uid="{1BCB7AC2-A236-4D8A-90AB-03E929B8962F}">
  <cacheSource type="external" connectionId="3"/>
  <cacheFields count="2">
    <cacheField name="[Measures].[Average of Patient Satisfaction Score]" caption="Average of Patient Satisfaction Score" numFmtId="0" hierarchy="29" level="32767"/>
    <cacheField name="[Calender_Table].[Date (Month)].[Date (Month)]" caption="Date (Month)" numFmtId="0" hierarchy="1"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Final].[Patient Id]" caption="Patient Id" attribute="1" defaultMemberUniqueName="[Hospital Emergency Room Data-Final].[Patient Id].[All]" allUniqueName="[Hospital Emergency Room Data-Final].[Patient Id].[All]" dimensionUniqueName="[Hospital Emergency Room Data-Final]" displayFolder="" count="0" memberValueDatatype="130" unbalanced="0"/>
    <cacheHierarchy uniqueName="[Hospital Emergency Room Data-Final].[Patient Admission Date.1]" caption="Patient Admission Date.1" attribute="1" time="1" defaultMemberUniqueName="[Hospital Emergency Room Data-Final].[Patient Admission Date.1].[All]" allUniqueName="[Hospital Emergency Room Data-Final].[Patient Admission Date.1].[All]" dimensionUniqueName="[Hospital Emergency Room Data-Final]" displayFolder="" count="0" memberValueDatatype="7" unbalanced="0"/>
    <cacheHierarchy uniqueName="[Hospital Emergency Room Data-Final].[Patient Admission Date.2]" caption="Patient Admission Date.2" attribute="1" time="1" defaultMemberUniqueName="[Hospital Emergency Room Data-Final].[Patient Admission Date.2].[All]" allUniqueName="[Hospital Emergency Room Data-Final].[Patient Admission Date.2].[All]" dimensionUniqueName="[Hospital Emergency Room Data-Final]" displayFolder="" count="0" memberValueDatatype="7" unbalanced="0"/>
    <cacheHierarchy uniqueName="[Hospital Emergency Room Data-Final].[Patient Admission Date.3]" caption="Patient Admission Date.3" attribute="1" defaultMemberUniqueName="[Hospital Emergency Room Data-Final].[Patient Admission Date.3].[All]" allUniqueName="[Hospital Emergency Room Data-Final].[Patient Admission Date.3].[All]" dimensionUniqueName="[Hospital Emergency Room Data-Final]" displayFolder="" count="0" memberValueDatatype="130" unbalanced="0"/>
    <cacheHierarchy uniqueName="[Hospital Emergency Room Data-Final].[Merged]" caption="Merged" attribute="1" defaultMemberUniqueName="[Hospital Emergency Room Data-Final].[Merged].[All]" allUniqueName="[Hospital Emergency Room Data-Final].[Merged].[All]" dimensionUniqueName="[Hospital Emergency Room Data-Final]" displayFolder="" count="0" memberValueDatatype="130" unbalanced="0"/>
    <cacheHierarchy uniqueName="[Hospital Emergency Room Data-Final].[Patient Gender]" caption="Patient Gender" attribute="1" defaultMemberUniqueName="[Hospital Emergency Room Data-Final].[Patient Gender].[All]" allUniqueName="[Hospital Emergency Room Data-Final].[Patient Gender].[All]" dimensionUniqueName="[Hospital Emergency Room Data-Final]" displayFolder="" count="0" memberValueDatatype="130" unbalanced="0"/>
    <cacheHierarchy uniqueName="[Hospital Emergency Room Data-Final].[Patient Age]" caption="Patient Age" attribute="1" defaultMemberUniqueName="[Hospital Emergency Room Data-Final].[Patient Age].[All]" allUniqueName="[Hospital Emergency Room Data-Final].[Patient Age].[All]" dimensionUniqueName="[Hospital Emergency Room Data-Final]" displayFolder="" count="0" memberValueDatatype="20" unbalanced="0"/>
    <cacheHierarchy uniqueName="[Hospital Emergency Room Data-Final].[Patient Race]" caption="Patient Race" attribute="1" defaultMemberUniqueName="[Hospital Emergency Room Data-Final].[Patient Race].[All]" allUniqueName="[Hospital Emergency Room Data-Final].[Patient Race].[All]" dimensionUniqueName="[Hospital Emergency Room Data-Final]" displayFolder="" count="0" memberValueDatatype="130" unbalanced="0"/>
    <cacheHierarchy uniqueName="[Hospital Emergency Room Data-Final].[Department Referral]" caption="Department Referral" attribute="1" defaultMemberUniqueName="[Hospital Emergency Room Data-Final].[Department Referral].[All]" allUniqueName="[Hospital Emergency Room Data-Final].[Department Referral].[All]" dimensionUniqueName="[Hospital Emergency Room Data-Final]" displayFolder="" count="0" memberValueDatatype="130" unbalanced="0"/>
    <cacheHierarchy uniqueName="[Hospital Emergency Room Data-Final].[Patient Admission Flag]" caption="Patient Admission Flag" attribute="1" defaultMemberUniqueName="[Hospital Emergency Room Data-Final].[Patient Admission Flag].[All]" allUniqueName="[Hospital Emergency Room Data-Final].[Patient Admission Flag].[All]" dimensionUniqueName="[Hospital Emergency Room Data-Final]" displayFolder="" count="0" memberValueDatatype="130" unbalanced="0"/>
    <cacheHierarchy uniqueName="[Hospital Emergency Room Data-Final].[Patient Satisfaction Score]" caption="Patient Satisfaction Score" attribute="1" defaultMemberUniqueName="[Hospital Emergency Room Data-Final].[Patient Satisfaction Score].[All]" allUniqueName="[Hospital Emergency Room Data-Final].[Patient Satisfaction Score].[All]" dimensionUniqueName="[Hospital Emergency Room Data-Final]" displayFolder="" count="0" memberValueDatatype="20" unbalanced="0"/>
    <cacheHierarchy uniqueName="[Hospital Emergency Room Data-Final].[Patient Waittime]" caption="Patient Waittime" attribute="1" defaultMemberUniqueName="[Hospital Emergency Room Data-Final].[Patient Waittime].[All]" allUniqueName="[Hospital Emergency Room Data-Final].[Patient Waittime].[All]" dimensionUniqueName="[Hospital Emergency Room Data-Final]" displayFolder="" count="0" memberValueDatatype="20" unbalanced="0"/>
    <cacheHierarchy uniqueName="[Hospital Emergency Room Data-Final].[Age Group]" caption="Age Group" attribute="1" defaultMemberUniqueName="[Hospital Emergency Room Data-Final].[Age Group].[All]" allUniqueName="[Hospital Emergency Room Data-Final].[Age Group].[All]" dimensionUniqueName="[Hospital Emergency Room Data-Final]" displayFolder="" count="0" memberValueDatatype="130" unbalanced="0"/>
    <cacheHierarchy uniqueName="[Hospital Emergency Room Data-Final].[Patient Attend Status]" caption="Patient Attend Status" attribute="1" defaultMemberUniqueName="[Hospital Emergency Room Data-Final].[Patient Attend Status].[All]" allUniqueName="[Hospital Emergency Room Data-Final].[Patient Attend Status].[All]" dimensionUniqueName="[Hospital Emergency Room Data-Final]"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Final]" caption="__XL_Count Hospital Emergency Room Data-Final" measure="1" displayFolder="" measureGroup="Hospital Emergency Room Data-Final"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Final"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Final"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Final"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Final"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Final"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Final"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Final"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Final" uniqueName="[Hospital Emergency Room Data-Final]" caption="Hospital Emergency Room Data-Final"/>
    <dimension measure="1" name="Measures" uniqueName="[Measures]" caption="Measures"/>
  </dimensions>
  <measureGroups count="2">
    <measureGroup name="Calender_Table" caption="Calender_Table"/>
    <measureGroup name="Hospital Emergency Room Data-Final" caption="Hospital Emergency Room Data-Fin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M Asghar" refreshedDate="46289.473713888889" createdVersion="5" refreshedVersion="7" minRefreshableVersion="3" recordCount="0" supportSubquery="1" supportAdvancedDrill="1" xr:uid="{5FD07015-6F7E-499C-B62C-2EB2997A0080}">
  <cacheSource type="external" connectionId="3"/>
  <cacheFields count="4">
    <cacheField name="[Calender_Table].[Date (Month)].[Date (Month)]" caption="Date (Month)" numFmtId="0" hierarchy="1" level="1">
      <sharedItems count="1">
        <s v="Jul"/>
      </sharedItems>
    </cacheField>
    <cacheField name="[Calender_Table].[Date].[Date]" caption="Date" numFmtId="0" level="1">
      <sharedItems containsSemiMixedTypes="0" containsNonDate="0" containsDate="1" containsString="0" minDate="2023-05-03T00:00:00" maxDate="2024-05-04T00:00:00" count="2">
        <d v="2023-05-03T00:00:00"/>
        <d v="2024-05-03T00:00:00"/>
      </sharedItems>
    </cacheField>
    <cacheField name="[Calender_Table].[Date (Day)].[Date (Day)]" caption="Date (Day)" numFmtId="0" hierarchy="2" level="1">
      <sharedItems count="366">
        <s v="1-Jul"/>
        <s v="2-Jul"/>
        <s v="3-Jul"/>
        <s v="4-Jul"/>
        <s v="5-Jul"/>
        <s v="6-Jul"/>
        <s v="7-Jul"/>
        <s v="8-Jul"/>
        <s v="9-Jul"/>
        <s v="10-Jul"/>
        <s v="11-Jul"/>
        <s v="12-Jul"/>
        <s v="13-Jul"/>
        <s v="14-Jul"/>
        <s v="15-Jul"/>
        <s v="16-Jul"/>
        <s v="17-Jul"/>
        <s v="18-Jul"/>
        <s v="19-Jul"/>
        <s v="20-Jul"/>
        <s v="21-Jul"/>
        <s v="22-Jul"/>
        <s v="23-Jul"/>
        <s v="24-Jul"/>
        <s v="25-Jul"/>
        <s v="26-Jul"/>
        <s v="27-Jul"/>
        <s v="28-Jul"/>
        <s v="29-Jul"/>
        <s v="30-Jul"/>
        <s v="31-Jul"/>
        <s v="1-Oct" u="1"/>
        <s v="2-Oct" u="1"/>
        <s v="3-Oct" u="1"/>
        <s v="4-Oct" u="1"/>
        <s v="5-Oct" u="1"/>
        <s v="6-Oct" u="1"/>
        <s v="7-Oct" u="1"/>
        <s v="8-Oct" u="1"/>
        <s v="9-Oct" u="1"/>
        <s v="10-Oct" u="1"/>
        <s v="11-Oct" u="1"/>
        <s v="12-Oct" u="1"/>
        <s v="13-Oct" u="1"/>
        <s v="14-Oct" u="1"/>
        <s v="15-Oct" u="1"/>
        <s v="16-Oct" u="1"/>
        <s v="17-Oct" u="1"/>
        <s v="18-Oct" u="1"/>
        <s v="19-Oct" u="1"/>
        <s v="20-Oct" u="1"/>
        <s v="21-Oct" u="1"/>
        <s v="22-Oct" u="1"/>
        <s v="23-Oct" u="1"/>
        <s v="24-Oct" u="1"/>
        <s v="25-Oct" u="1"/>
        <s v="26-Oct" u="1"/>
        <s v="27-Oct" u="1"/>
        <s v="28-Oct" u="1"/>
        <s v="29-Oct" u="1"/>
        <s v="30-Oct" u="1"/>
        <s v="31-Oct" u="1"/>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 v="1-Apr" u="1"/>
        <s v="2-Apr" u="1"/>
        <s v="3-Apr" u="1"/>
        <s v="4-Apr" u="1"/>
        <s v="5-Apr" u="1"/>
        <s v="6-Apr" u="1"/>
        <s v="7-Apr" u="1"/>
        <s v="8-Apr" u="1"/>
        <s v="9-Apr" u="1"/>
        <s v="10-Apr" u="1"/>
        <s v="11-Apr" u="1"/>
        <s v="12-Apr" u="1"/>
        <s v="13-Apr" u="1"/>
        <s v="14-Apr" u="1"/>
        <s v="15-Apr" u="1"/>
        <s v="16-Apr" u="1"/>
        <s v="17-Apr" u="1"/>
        <s v="18-Apr" u="1"/>
        <s v="19-Apr" u="1"/>
        <s v="20-Apr" u="1"/>
        <s v="21-Apr" u="1"/>
        <s v="22-Apr" u="1"/>
        <s v="23-Apr" u="1"/>
        <s v="24-Apr" u="1"/>
        <s v="25-Apr" u="1"/>
        <s v="26-Apr" u="1"/>
        <s v="27-Apr" u="1"/>
        <s v="28-Apr" u="1"/>
        <s v="29-Apr" u="1"/>
        <s v="30-Apr" u="1"/>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6-Feb" u="1"/>
        <s v="27-Feb" u="1"/>
        <s v="28-Feb" u="1"/>
        <s v="29-Feb" u="1"/>
        <s v="1-Aug" u="1"/>
        <s v="2-Aug" u="1"/>
        <s v="3-Aug" u="1"/>
        <s v="4-Aug" u="1"/>
        <s v="5-Aug" u="1"/>
        <s v="6-Aug" u="1"/>
        <s v="7-Aug" u="1"/>
        <s v="8-Aug" u="1"/>
        <s v="9-Aug" u="1"/>
        <s v="10-Aug" u="1"/>
        <s v="11-Aug" u="1"/>
        <s v="12-Aug" u="1"/>
        <s v="13-Aug" u="1"/>
        <s v="14-Aug" u="1"/>
        <s v="15-Aug" u="1"/>
        <s v="16-Aug" u="1"/>
        <s v="17-Aug" u="1"/>
        <s v="18-Aug" u="1"/>
        <s v="19-Aug" u="1"/>
        <s v="20-Aug" u="1"/>
        <s v="21-Aug" u="1"/>
        <s v="22-Aug" u="1"/>
        <s v="23-Aug" u="1"/>
        <s v="24-Aug" u="1"/>
        <s v="25-Aug" u="1"/>
        <s v="26-Aug" u="1"/>
        <s v="27-Aug" u="1"/>
        <s v="28-Aug" u="1"/>
        <s v="29-Aug" u="1"/>
        <s v="30-Aug" u="1"/>
        <s v="31-Aug"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 v="1-Dec" u="1"/>
        <s v="2-Dec" u="1"/>
        <s v="3-Dec" u="1"/>
        <s v="4-Dec" u="1"/>
        <s v="5-Dec" u="1"/>
        <s v="6-Dec" u="1"/>
        <s v="7-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31-Dec" u="1"/>
        <s v="1-Sep" u="1"/>
        <s v="2-Sep" u="1"/>
        <s v="3-Sep" u="1"/>
        <s v="4-Sep" u="1"/>
        <s v="5-Sep" u="1"/>
        <s v="6-Sep" u="1"/>
        <s v="7-Sep" u="1"/>
        <s v="8-Sep" u="1"/>
        <s v="9-Sep" u="1"/>
        <s v="10-Sep" u="1"/>
        <s v="11-Sep" u="1"/>
        <s v="12-Sep" u="1"/>
        <s v="13-Sep" u="1"/>
        <s v="14-Sep" u="1"/>
        <s v="15-Sep" u="1"/>
        <s v="16-Sep" u="1"/>
        <s v="17-Sep" u="1"/>
        <s v="18-Sep" u="1"/>
        <s v="19-Sep" u="1"/>
        <s v="20-Sep" u="1"/>
        <s v="21-Sep" u="1"/>
        <s v="22-Sep" u="1"/>
        <s v="23-Sep" u="1"/>
        <s v="24-Sep" u="1"/>
        <s v="25-Sep" u="1"/>
        <s v="26-Sep" u="1"/>
        <s v="27-Sep" u="1"/>
        <s v="28-Sep" u="1"/>
        <s v="29-Sep" u="1"/>
        <s v="30-Sep"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haredItems>
    </cacheField>
    <cacheField name="[Measures].[Average of Patient Waittime]" caption="Average of Patient Waittime" numFmtId="0" hierarchy="27" level="32767"/>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Final].[Patient Id]" caption="Patient Id" attribute="1" defaultMemberUniqueName="[Hospital Emergency Room Data-Final].[Patient Id].[All]" allUniqueName="[Hospital Emergency Room Data-Final].[Patient Id].[All]" dimensionUniqueName="[Hospital Emergency Room Data-Final]" displayFolder="" count="0" memberValueDatatype="130" unbalanced="0"/>
    <cacheHierarchy uniqueName="[Hospital Emergency Room Data-Final].[Patient Admission Date.1]" caption="Patient Admission Date.1" attribute="1" time="1" defaultMemberUniqueName="[Hospital Emergency Room Data-Final].[Patient Admission Date.1].[All]" allUniqueName="[Hospital Emergency Room Data-Final].[Patient Admission Date.1].[All]" dimensionUniqueName="[Hospital Emergency Room Data-Final]" displayFolder="" count="0" memberValueDatatype="7" unbalanced="0"/>
    <cacheHierarchy uniqueName="[Hospital Emergency Room Data-Final].[Patient Admission Date.2]" caption="Patient Admission Date.2" attribute="1" time="1" defaultMemberUniqueName="[Hospital Emergency Room Data-Final].[Patient Admission Date.2].[All]" allUniqueName="[Hospital Emergency Room Data-Final].[Patient Admission Date.2].[All]" dimensionUniqueName="[Hospital Emergency Room Data-Final]" displayFolder="" count="0" memberValueDatatype="7" unbalanced="0"/>
    <cacheHierarchy uniqueName="[Hospital Emergency Room Data-Final].[Patient Admission Date.3]" caption="Patient Admission Date.3" attribute="1" defaultMemberUniqueName="[Hospital Emergency Room Data-Final].[Patient Admission Date.3].[All]" allUniqueName="[Hospital Emergency Room Data-Final].[Patient Admission Date.3].[All]" dimensionUniqueName="[Hospital Emergency Room Data-Final]" displayFolder="" count="0" memberValueDatatype="130" unbalanced="0"/>
    <cacheHierarchy uniqueName="[Hospital Emergency Room Data-Final].[Merged]" caption="Merged" attribute="1" defaultMemberUniqueName="[Hospital Emergency Room Data-Final].[Merged].[All]" allUniqueName="[Hospital Emergency Room Data-Final].[Merged].[All]" dimensionUniqueName="[Hospital Emergency Room Data-Final]" displayFolder="" count="0" memberValueDatatype="130" unbalanced="0"/>
    <cacheHierarchy uniqueName="[Hospital Emergency Room Data-Final].[Patient Gender]" caption="Patient Gender" attribute="1" defaultMemberUniqueName="[Hospital Emergency Room Data-Final].[Patient Gender].[All]" allUniqueName="[Hospital Emergency Room Data-Final].[Patient Gender].[All]" dimensionUniqueName="[Hospital Emergency Room Data-Final]" displayFolder="" count="0" memberValueDatatype="130" unbalanced="0"/>
    <cacheHierarchy uniqueName="[Hospital Emergency Room Data-Final].[Patient Age]" caption="Patient Age" attribute="1" defaultMemberUniqueName="[Hospital Emergency Room Data-Final].[Patient Age].[All]" allUniqueName="[Hospital Emergency Room Data-Final].[Patient Age].[All]" dimensionUniqueName="[Hospital Emergency Room Data-Final]" displayFolder="" count="0" memberValueDatatype="20" unbalanced="0"/>
    <cacheHierarchy uniqueName="[Hospital Emergency Room Data-Final].[Patient Race]" caption="Patient Race" attribute="1" defaultMemberUniqueName="[Hospital Emergency Room Data-Final].[Patient Race].[All]" allUniqueName="[Hospital Emergency Room Data-Final].[Patient Race].[All]" dimensionUniqueName="[Hospital Emergency Room Data-Final]" displayFolder="" count="0" memberValueDatatype="130" unbalanced="0"/>
    <cacheHierarchy uniqueName="[Hospital Emergency Room Data-Final].[Department Referral]" caption="Department Referral" attribute="1" defaultMemberUniqueName="[Hospital Emergency Room Data-Final].[Department Referral].[All]" allUniqueName="[Hospital Emergency Room Data-Final].[Department Referral].[All]" dimensionUniqueName="[Hospital Emergency Room Data-Final]" displayFolder="" count="0" memberValueDatatype="130" unbalanced="0"/>
    <cacheHierarchy uniqueName="[Hospital Emergency Room Data-Final].[Patient Admission Flag]" caption="Patient Admission Flag" attribute="1" defaultMemberUniqueName="[Hospital Emergency Room Data-Final].[Patient Admission Flag].[All]" allUniqueName="[Hospital Emergency Room Data-Final].[Patient Admission Flag].[All]" dimensionUniqueName="[Hospital Emergency Room Data-Final]" displayFolder="" count="0" memberValueDatatype="130" unbalanced="0"/>
    <cacheHierarchy uniqueName="[Hospital Emergency Room Data-Final].[Patient Satisfaction Score]" caption="Patient Satisfaction Score" attribute="1" defaultMemberUniqueName="[Hospital Emergency Room Data-Final].[Patient Satisfaction Score].[All]" allUniqueName="[Hospital Emergency Room Data-Final].[Patient Satisfaction Score].[All]" dimensionUniqueName="[Hospital Emergency Room Data-Final]" displayFolder="" count="0" memberValueDatatype="20" unbalanced="0"/>
    <cacheHierarchy uniqueName="[Hospital Emergency Room Data-Final].[Patient Waittime]" caption="Patient Waittime" attribute="1" defaultMemberUniqueName="[Hospital Emergency Room Data-Final].[Patient Waittime].[All]" allUniqueName="[Hospital Emergency Room Data-Final].[Patient Waittime].[All]" dimensionUniqueName="[Hospital Emergency Room Data-Final]" displayFolder="" count="0" memberValueDatatype="20" unbalanced="0"/>
    <cacheHierarchy uniqueName="[Hospital Emergency Room Data-Final].[Age Group]" caption="Age Group" attribute="1" defaultMemberUniqueName="[Hospital Emergency Room Data-Final].[Age Group].[All]" allUniqueName="[Hospital Emergency Room Data-Final].[Age Group].[All]" dimensionUniqueName="[Hospital Emergency Room Data-Final]" displayFolder="" count="0" memberValueDatatype="130" unbalanced="0"/>
    <cacheHierarchy uniqueName="[Hospital Emergency Room Data-Final].[Patient Attend Status]" caption="Patient Attend Status" attribute="1" defaultMemberUniqueName="[Hospital Emergency Room Data-Final].[Patient Attend Status].[All]" allUniqueName="[Hospital Emergency Room Data-Final].[Patient Attend Status].[All]" dimensionUniqueName="[Hospital Emergency Room Data-Final]"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Final]" caption="__XL_Count Hospital Emergency Room Data-Final" measure="1" displayFolder="" measureGroup="Hospital Emergency Room Data-Final"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Final"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Final"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Final"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Final"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Final"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Final"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Final"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Final" uniqueName="[Hospital Emergency Room Data-Final]" caption="Hospital Emergency Room Data-Final"/>
    <dimension measure="1" name="Measures" uniqueName="[Measures]" caption="Measures"/>
  </dimensions>
  <measureGroups count="2">
    <measureGroup name="Calender_Table" caption="Calender_Table"/>
    <measureGroup name="Hospital Emergency Room Data-Final" caption="Hospital Emergency Room Data-Fin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M Asghar" refreshedDate="46289.473718518515" createdVersion="5" refreshedVersion="7" minRefreshableVersion="3" recordCount="0" supportSubquery="1" supportAdvancedDrill="1" xr:uid="{0CF36354-4309-4EEA-B1A9-AAE97EE8B464}">
  <cacheSource type="external" connectionId="3"/>
  <cacheFields count="4">
    <cacheField name="[Calender_Table].[Date (Month)].[Date (Month)]" caption="Date (Month)" numFmtId="0" hierarchy="1" level="1">
      <sharedItems count="1">
        <s v="Jul"/>
      </sharedItems>
    </cacheField>
    <cacheField name="[Calender_Table].[Date].[Date]" caption="Date" numFmtId="0" level="1">
      <sharedItems containsSemiMixedTypes="0" containsNonDate="0" containsDate="1" containsString="0" minDate="2023-05-03T00:00:00" maxDate="2024-05-04T00:00:00" count="2">
        <d v="2023-05-03T00:00:00"/>
        <d v="2024-05-03T00:00:00"/>
      </sharedItems>
    </cacheField>
    <cacheField name="[Calender_Table].[Date (Day)].[Date (Day)]" caption="Date (Day)" numFmtId="0" hierarchy="2" level="1">
      <sharedItems count="366">
        <s v="1-Jul"/>
        <s v="2-Jul"/>
        <s v="3-Jul"/>
        <s v="4-Jul"/>
        <s v="5-Jul"/>
        <s v="6-Jul"/>
        <s v="7-Jul"/>
        <s v="8-Jul"/>
        <s v="9-Jul"/>
        <s v="10-Jul"/>
        <s v="11-Jul"/>
        <s v="12-Jul"/>
        <s v="13-Jul"/>
        <s v="14-Jul"/>
        <s v="15-Jul"/>
        <s v="16-Jul"/>
        <s v="17-Jul"/>
        <s v="18-Jul"/>
        <s v="19-Jul"/>
        <s v="20-Jul"/>
        <s v="21-Jul"/>
        <s v="22-Jul"/>
        <s v="23-Jul"/>
        <s v="24-Jul"/>
        <s v="25-Jul"/>
        <s v="26-Jul"/>
        <s v="27-Jul"/>
        <s v="28-Jul"/>
        <s v="29-Jul"/>
        <s v="30-Jul"/>
        <s v="31-Jul"/>
        <s v="1-Oct" u="1"/>
        <s v="2-Oct" u="1"/>
        <s v="3-Oct" u="1"/>
        <s v="4-Oct" u="1"/>
        <s v="5-Oct" u="1"/>
        <s v="6-Oct" u="1"/>
        <s v="7-Oct" u="1"/>
        <s v="8-Oct" u="1"/>
        <s v="9-Oct" u="1"/>
        <s v="10-Oct" u="1"/>
        <s v="11-Oct" u="1"/>
        <s v="12-Oct" u="1"/>
        <s v="13-Oct" u="1"/>
        <s v="14-Oct" u="1"/>
        <s v="15-Oct" u="1"/>
        <s v="16-Oct" u="1"/>
        <s v="17-Oct" u="1"/>
        <s v="18-Oct" u="1"/>
        <s v="19-Oct" u="1"/>
        <s v="20-Oct" u="1"/>
        <s v="21-Oct" u="1"/>
        <s v="22-Oct" u="1"/>
        <s v="23-Oct" u="1"/>
        <s v="24-Oct" u="1"/>
        <s v="25-Oct" u="1"/>
        <s v="26-Oct" u="1"/>
        <s v="27-Oct" u="1"/>
        <s v="28-Oct" u="1"/>
        <s v="29-Oct" u="1"/>
        <s v="30-Oct" u="1"/>
        <s v="31-Oct" u="1"/>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 v="1-Apr" u="1"/>
        <s v="2-Apr" u="1"/>
        <s v="3-Apr" u="1"/>
        <s v="4-Apr" u="1"/>
        <s v="5-Apr" u="1"/>
        <s v="6-Apr" u="1"/>
        <s v="7-Apr" u="1"/>
        <s v="8-Apr" u="1"/>
        <s v="9-Apr" u="1"/>
        <s v="10-Apr" u="1"/>
        <s v="11-Apr" u="1"/>
        <s v="12-Apr" u="1"/>
        <s v="13-Apr" u="1"/>
        <s v="14-Apr" u="1"/>
        <s v="15-Apr" u="1"/>
        <s v="16-Apr" u="1"/>
        <s v="17-Apr" u="1"/>
        <s v="18-Apr" u="1"/>
        <s v="19-Apr" u="1"/>
        <s v="20-Apr" u="1"/>
        <s v="21-Apr" u="1"/>
        <s v="22-Apr" u="1"/>
        <s v="23-Apr" u="1"/>
        <s v="24-Apr" u="1"/>
        <s v="25-Apr" u="1"/>
        <s v="26-Apr" u="1"/>
        <s v="27-Apr" u="1"/>
        <s v="28-Apr" u="1"/>
        <s v="29-Apr" u="1"/>
        <s v="30-Apr" u="1"/>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7-Feb" u="1"/>
        <s v="28-Feb" u="1"/>
        <s v="29-Feb" u="1"/>
        <s v="1-Aug" u="1"/>
        <s v="2-Aug" u="1"/>
        <s v="3-Aug" u="1"/>
        <s v="4-Aug" u="1"/>
        <s v="5-Aug" u="1"/>
        <s v="6-Aug" u="1"/>
        <s v="7-Aug" u="1"/>
        <s v="8-Aug" u="1"/>
        <s v="9-Aug" u="1"/>
        <s v="10-Aug" u="1"/>
        <s v="11-Aug" u="1"/>
        <s v="12-Aug" u="1"/>
        <s v="13-Aug" u="1"/>
        <s v="14-Aug" u="1"/>
        <s v="15-Aug" u="1"/>
        <s v="16-Aug" u="1"/>
        <s v="17-Aug" u="1"/>
        <s v="18-Aug" u="1"/>
        <s v="19-Aug" u="1"/>
        <s v="20-Aug" u="1"/>
        <s v="21-Aug" u="1"/>
        <s v="22-Aug" u="1"/>
        <s v="23-Aug" u="1"/>
        <s v="24-Aug" u="1"/>
        <s v="25-Aug" u="1"/>
        <s v="26-Aug" u="1"/>
        <s v="27-Aug" u="1"/>
        <s v="28-Aug" u="1"/>
        <s v="29-Aug" u="1"/>
        <s v="30-Aug" u="1"/>
        <s v="31-Aug"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 v="1-Dec" u="1"/>
        <s v="2-Dec" u="1"/>
        <s v="3-Dec" u="1"/>
        <s v="4-Dec" u="1"/>
        <s v="5-Dec" u="1"/>
        <s v="6-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1-Sep" u="1"/>
        <s v="2-Sep" u="1"/>
        <s v="3-Sep" u="1"/>
        <s v="4-Sep" u="1"/>
        <s v="5-Sep" u="1"/>
        <s v="6-Sep" u="1"/>
        <s v="7-Sep" u="1"/>
        <s v="8-Sep" u="1"/>
        <s v="9-Sep" u="1"/>
        <s v="10-Sep" u="1"/>
        <s v="11-Sep" u="1"/>
        <s v="12-Sep" u="1"/>
        <s v="13-Sep" u="1"/>
        <s v="14-Sep" u="1"/>
        <s v="15-Sep" u="1"/>
        <s v="16-Sep" u="1"/>
        <s v="17-Sep" u="1"/>
        <s v="18-Sep" u="1"/>
        <s v="19-Sep" u="1"/>
        <s v="20-Sep" u="1"/>
        <s v="21-Sep" u="1"/>
        <s v="22-Sep" u="1"/>
        <s v="23-Sep" u="1"/>
        <s v="24-Sep" u="1"/>
        <s v="25-Sep" u="1"/>
        <s v="26-Sep" u="1"/>
        <s v="27-Sep" u="1"/>
        <s v="28-Sep" u="1"/>
        <s v="29-Sep" u="1"/>
        <s v="30-Sep"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7-Dec" u="1"/>
        <s v="31-Dec" u="1"/>
        <s v="26-Feb" u="1"/>
      </sharedItems>
    </cacheField>
    <cacheField name="[Measures].[Average of Patient Satisfaction Score]" caption="Average of Patient Satisfaction Score" numFmtId="0" hierarchy="29" level="32767"/>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Final].[Patient Id]" caption="Patient Id" attribute="1" defaultMemberUniqueName="[Hospital Emergency Room Data-Final].[Patient Id].[All]" allUniqueName="[Hospital Emergency Room Data-Final].[Patient Id].[All]" dimensionUniqueName="[Hospital Emergency Room Data-Final]" displayFolder="" count="0" memberValueDatatype="130" unbalanced="0"/>
    <cacheHierarchy uniqueName="[Hospital Emergency Room Data-Final].[Patient Admission Date.1]" caption="Patient Admission Date.1" attribute="1" time="1" defaultMemberUniqueName="[Hospital Emergency Room Data-Final].[Patient Admission Date.1].[All]" allUniqueName="[Hospital Emergency Room Data-Final].[Patient Admission Date.1].[All]" dimensionUniqueName="[Hospital Emergency Room Data-Final]" displayFolder="" count="0" memberValueDatatype="7" unbalanced="0"/>
    <cacheHierarchy uniqueName="[Hospital Emergency Room Data-Final].[Patient Admission Date.2]" caption="Patient Admission Date.2" attribute="1" time="1" defaultMemberUniqueName="[Hospital Emergency Room Data-Final].[Patient Admission Date.2].[All]" allUniqueName="[Hospital Emergency Room Data-Final].[Patient Admission Date.2].[All]" dimensionUniqueName="[Hospital Emergency Room Data-Final]" displayFolder="" count="0" memberValueDatatype="7" unbalanced="0"/>
    <cacheHierarchy uniqueName="[Hospital Emergency Room Data-Final].[Patient Admission Date.3]" caption="Patient Admission Date.3" attribute="1" defaultMemberUniqueName="[Hospital Emergency Room Data-Final].[Patient Admission Date.3].[All]" allUniqueName="[Hospital Emergency Room Data-Final].[Patient Admission Date.3].[All]" dimensionUniqueName="[Hospital Emergency Room Data-Final]" displayFolder="" count="0" memberValueDatatype="130" unbalanced="0"/>
    <cacheHierarchy uniqueName="[Hospital Emergency Room Data-Final].[Merged]" caption="Merged" attribute="1" defaultMemberUniqueName="[Hospital Emergency Room Data-Final].[Merged].[All]" allUniqueName="[Hospital Emergency Room Data-Final].[Merged].[All]" dimensionUniqueName="[Hospital Emergency Room Data-Final]" displayFolder="" count="0" memberValueDatatype="130" unbalanced="0"/>
    <cacheHierarchy uniqueName="[Hospital Emergency Room Data-Final].[Patient Gender]" caption="Patient Gender" attribute="1" defaultMemberUniqueName="[Hospital Emergency Room Data-Final].[Patient Gender].[All]" allUniqueName="[Hospital Emergency Room Data-Final].[Patient Gender].[All]" dimensionUniqueName="[Hospital Emergency Room Data-Final]" displayFolder="" count="0" memberValueDatatype="130" unbalanced="0"/>
    <cacheHierarchy uniqueName="[Hospital Emergency Room Data-Final].[Patient Age]" caption="Patient Age" attribute="1" defaultMemberUniqueName="[Hospital Emergency Room Data-Final].[Patient Age].[All]" allUniqueName="[Hospital Emergency Room Data-Final].[Patient Age].[All]" dimensionUniqueName="[Hospital Emergency Room Data-Final]" displayFolder="" count="0" memberValueDatatype="20" unbalanced="0"/>
    <cacheHierarchy uniqueName="[Hospital Emergency Room Data-Final].[Patient Race]" caption="Patient Race" attribute="1" defaultMemberUniqueName="[Hospital Emergency Room Data-Final].[Patient Race].[All]" allUniqueName="[Hospital Emergency Room Data-Final].[Patient Race].[All]" dimensionUniqueName="[Hospital Emergency Room Data-Final]" displayFolder="" count="0" memberValueDatatype="130" unbalanced="0"/>
    <cacheHierarchy uniqueName="[Hospital Emergency Room Data-Final].[Department Referral]" caption="Department Referral" attribute="1" defaultMemberUniqueName="[Hospital Emergency Room Data-Final].[Department Referral].[All]" allUniqueName="[Hospital Emergency Room Data-Final].[Department Referral].[All]" dimensionUniqueName="[Hospital Emergency Room Data-Final]" displayFolder="" count="0" memberValueDatatype="130" unbalanced="0"/>
    <cacheHierarchy uniqueName="[Hospital Emergency Room Data-Final].[Patient Admission Flag]" caption="Patient Admission Flag" attribute="1" defaultMemberUniqueName="[Hospital Emergency Room Data-Final].[Patient Admission Flag].[All]" allUniqueName="[Hospital Emergency Room Data-Final].[Patient Admission Flag].[All]" dimensionUniqueName="[Hospital Emergency Room Data-Final]" displayFolder="" count="0" memberValueDatatype="130" unbalanced="0"/>
    <cacheHierarchy uniqueName="[Hospital Emergency Room Data-Final].[Patient Satisfaction Score]" caption="Patient Satisfaction Score" attribute="1" defaultMemberUniqueName="[Hospital Emergency Room Data-Final].[Patient Satisfaction Score].[All]" allUniqueName="[Hospital Emergency Room Data-Final].[Patient Satisfaction Score].[All]" dimensionUniqueName="[Hospital Emergency Room Data-Final]" displayFolder="" count="0" memberValueDatatype="20" unbalanced="0"/>
    <cacheHierarchy uniqueName="[Hospital Emergency Room Data-Final].[Patient Waittime]" caption="Patient Waittime" attribute="1" defaultMemberUniqueName="[Hospital Emergency Room Data-Final].[Patient Waittime].[All]" allUniqueName="[Hospital Emergency Room Data-Final].[Patient Waittime].[All]" dimensionUniqueName="[Hospital Emergency Room Data-Final]" displayFolder="" count="0" memberValueDatatype="20" unbalanced="0"/>
    <cacheHierarchy uniqueName="[Hospital Emergency Room Data-Final].[Age Group]" caption="Age Group" attribute="1" defaultMemberUniqueName="[Hospital Emergency Room Data-Final].[Age Group].[All]" allUniqueName="[Hospital Emergency Room Data-Final].[Age Group].[All]" dimensionUniqueName="[Hospital Emergency Room Data-Final]" displayFolder="" count="0" memberValueDatatype="130" unbalanced="0"/>
    <cacheHierarchy uniqueName="[Hospital Emergency Room Data-Final].[Patient Attend Status]" caption="Patient Attend Status" attribute="1" defaultMemberUniqueName="[Hospital Emergency Room Data-Final].[Patient Attend Status].[All]" allUniqueName="[Hospital Emergency Room Data-Final].[Patient Attend Status].[All]" dimensionUniqueName="[Hospital Emergency Room Data-Final]"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Final]" caption="__XL_Count Hospital Emergency Room Data-Final" measure="1" displayFolder="" measureGroup="Hospital Emergency Room Data-Final"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Final" count="0" oneField="1" hidden="1">
      <fieldsUsage count="1">
        <fieldUsage x="3"/>
      </fieldsUsage>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Final"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Final"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Final"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Final"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Final"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Final"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Final" uniqueName="[Hospital Emergency Room Data-Final]" caption="Hospital Emergency Room Data-Final"/>
    <dimension measure="1" name="Measures" uniqueName="[Measures]" caption="Measures"/>
  </dimensions>
  <measureGroups count="2">
    <measureGroup name="Calender_Table" caption="Calender_Table"/>
    <measureGroup name="Hospital Emergency Room Data-Final" caption="Hospital Emergency Room Data-Fin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M Asghar" refreshedDate="46289.473722800925" createdVersion="5" refreshedVersion="7" minRefreshableVersion="3" recordCount="0" supportSubquery="1" supportAdvancedDrill="1" xr:uid="{80A376EB-992A-463A-BEEE-FB832A896FDF}">
  <cacheSource type="external" connectionId="3"/>
  <cacheFields count="4">
    <cacheField name="[Calender_Table].[Date (Month)].[Date (Month)]" caption="Date (Month)" numFmtId="0" hierarchy="1" level="1">
      <sharedItems containsSemiMixedTypes="0" containsNonDate="0" containsString="0"/>
    </cacheField>
    <cacheField name="[Hospital Emergency Room Data-Final].[Patient Admission Flag].[Patient Admission Flag]" caption="Patient Admission Flag" numFmtId="0" hierarchy="14" level="1">
      <sharedItems count="2">
        <s v="Admitted"/>
        <s v="Not Admitted"/>
      </sharedItems>
    </cacheField>
    <cacheField name="[Measures].[Count of Patient Admission Flag]" caption="Count of Patient Admission Flag" numFmtId="0" hierarchy="31" level="32767"/>
    <cacheField name="Dummy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Final].[Patient Id]" caption="Patient Id" attribute="1" defaultMemberUniqueName="[Hospital Emergency Room Data-Final].[Patient Id].[All]" allUniqueName="[Hospital Emergency Room Data-Final].[Patient Id].[All]" dimensionUniqueName="[Hospital Emergency Room Data-Final]" displayFolder="" count="0" memberValueDatatype="130" unbalanced="0"/>
    <cacheHierarchy uniqueName="[Hospital Emergency Room Data-Final].[Patient Admission Date.1]" caption="Patient Admission Date.1" attribute="1" time="1" defaultMemberUniqueName="[Hospital Emergency Room Data-Final].[Patient Admission Date.1].[All]" allUniqueName="[Hospital Emergency Room Data-Final].[Patient Admission Date.1].[All]" dimensionUniqueName="[Hospital Emergency Room Data-Final]" displayFolder="" count="0" memberValueDatatype="7" unbalanced="0"/>
    <cacheHierarchy uniqueName="[Hospital Emergency Room Data-Final].[Patient Admission Date.2]" caption="Patient Admission Date.2" attribute="1" time="1" defaultMemberUniqueName="[Hospital Emergency Room Data-Final].[Patient Admission Date.2].[All]" allUniqueName="[Hospital Emergency Room Data-Final].[Patient Admission Date.2].[All]" dimensionUniqueName="[Hospital Emergency Room Data-Final]" displayFolder="" count="0" memberValueDatatype="7" unbalanced="0"/>
    <cacheHierarchy uniqueName="[Hospital Emergency Room Data-Final].[Patient Admission Date.3]" caption="Patient Admission Date.3" attribute="1" defaultMemberUniqueName="[Hospital Emergency Room Data-Final].[Patient Admission Date.3].[All]" allUniqueName="[Hospital Emergency Room Data-Final].[Patient Admission Date.3].[All]" dimensionUniqueName="[Hospital Emergency Room Data-Final]" displayFolder="" count="0" memberValueDatatype="130" unbalanced="0"/>
    <cacheHierarchy uniqueName="[Hospital Emergency Room Data-Final].[Merged]" caption="Merged" attribute="1" defaultMemberUniqueName="[Hospital Emergency Room Data-Final].[Merged].[All]" allUniqueName="[Hospital Emergency Room Data-Final].[Merged].[All]" dimensionUniqueName="[Hospital Emergency Room Data-Final]" displayFolder="" count="0" memberValueDatatype="130" unbalanced="0"/>
    <cacheHierarchy uniqueName="[Hospital Emergency Room Data-Final].[Patient Gender]" caption="Patient Gender" attribute="1" defaultMemberUniqueName="[Hospital Emergency Room Data-Final].[Patient Gender].[All]" allUniqueName="[Hospital Emergency Room Data-Final].[Patient Gender].[All]" dimensionUniqueName="[Hospital Emergency Room Data-Final]" displayFolder="" count="0" memberValueDatatype="130" unbalanced="0"/>
    <cacheHierarchy uniqueName="[Hospital Emergency Room Data-Final].[Patient Age]" caption="Patient Age" attribute="1" defaultMemberUniqueName="[Hospital Emergency Room Data-Final].[Patient Age].[All]" allUniqueName="[Hospital Emergency Room Data-Final].[Patient Age].[All]" dimensionUniqueName="[Hospital Emergency Room Data-Final]" displayFolder="" count="0" memberValueDatatype="20" unbalanced="0"/>
    <cacheHierarchy uniqueName="[Hospital Emergency Room Data-Final].[Patient Race]" caption="Patient Race" attribute="1" defaultMemberUniqueName="[Hospital Emergency Room Data-Final].[Patient Race].[All]" allUniqueName="[Hospital Emergency Room Data-Final].[Patient Race].[All]" dimensionUniqueName="[Hospital Emergency Room Data-Final]" displayFolder="" count="0" memberValueDatatype="130" unbalanced="0"/>
    <cacheHierarchy uniqueName="[Hospital Emergency Room Data-Final].[Department Referral]" caption="Department Referral" attribute="1" defaultMemberUniqueName="[Hospital Emergency Room Data-Final].[Department Referral].[All]" allUniqueName="[Hospital Emergency Room Data-Final].[Department Referral].[All]" dimensionUniqueName="[Hospital Emergency Room Data-Final]" displayFolder="" count="0" memberValueDatatype="130" unbalanced="0"/>
    <cacheHierarchy uniqueName="[Hospital Emergency Room Data-Final].[Patient Admission Flag]" caption="Patient Admission Flag" attribute="1" defaultMemberUniqueName="[Hospital Emergency Room Data-Final].[Patient Admission Flag].[All]" allUniqueName="[Hospital Emergency Room Data-Final].[Patient Admission Flag].[All]" dimensionUniqueName="[Hospital Emergency Room Data-Final]" displayFolder="" count="2" memberValueDatatype="130" unbalanced="0">
      <fieldsUsage count="2">
        <fieldUsage x="-1"/>
        <fieldUsage x="1"/>
      </fieldsUsage>
    </cacheHierarchy>
    <cacheHierarchy uniqueName="[Hospital Emergency Room Data-Final].[Patient Satisfaction Score]" caption="Patient Satisfaction Score" attribute="1" defaultMemberUniqueName="[Hospital Emergency Room Data-Final].[Patient Satisfaction Score].[All]" allUniqueName="[Hospital Emergency Room Data-Final].[Patient Satisfaction Score].[All]" dimensionUniqueName="[Hospital Emergency Room Data-Final]" displayFolder="" count="0" memberValueDatatype="20" unbalanced="0"/>
    <cacheHierarchy uniqueName="[Hospital Emergency Room Data-Final].[Patient Waittime]" caption="Patient Waittime" attribute="1" defaultMemberUniqueName="[Hospital Emergency Room Data-Final].[Patient Waittime].[All]" allUniqueName="[Hospital Emergency Room Data-Final].[Patient Waittime].[All]" dimensionUniqueName="[Hospital Emergency Room Data-Final]" displayFolder="" count="0" memberValueDatatype="20" unbalanced="0"/>
    <cacheHierarchy uniqueName="[Hospital Emergency Room Data-Final].[Age Group]" caption="Age Group" attribute="1" defaultMemberUniqueName="[Hospital Emergency Room Data-Final].[Age Group].[All]" allUniqueName="[Hospital Emergency Room Data-Final].[Age Group].[All]" dimensionUniqueName="[Hospital Emergency Room Data-Final]" displayFolder="" count="0" memberValueDatatype="130" unbalanced="0"/>
    <cacheHierarchy uniqueName="[Hospital Emergency Room Data-Final].[Patient Attend Status]" caption="Patient Attend Status" attribute="1" defaultMemberUniqueName="[Hospital Emergency Room Data-Final].[Patient Attend Status].[All]" allUniqueName="[Hospital Emergency Room Data-Final].[Patient Attend Status].[All]" dimensionUniqueName="[Hospital Emergency Room Data-Final]"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Final]" caption="__XL_Count Hospital Emergency Room Data-Final" measure="1" displayFolder="" measureGroup="Hospital Emergency Room Data-Final"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Final"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Final"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Final"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Final"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Final"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Final" count="0" hidden="1">
      <extLst>
        <ext xmlns:x15="http://schemas.microsoft.com/office/spreadsheetml/2010/11/main" uri="{B97F6D7D-B522-45F9-BDA1-12C45D357490}">
          <x15:cacheHierarchy aggregatedColumn="13"/>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Final" uniqueName="[Hospital Emergency Room Data-Final]" caption="Hospital Emergency Room Data-Final"/>
    <dimension measure="1" name="Measures" uniqueName="[Measures]" caption="Measures"/>
  </dimensions>
  <measureGroups count="2">
    <measureGroup name="Calender_Table" caption="Calender_Table"/>
    <measureGroup name="Hospital Emergency Room Data-Final" caption="Hospital Emergency Room Data-Fin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M Asghar" refreshedDate="46289.473727199074" createdVersion="5" refreshedVersion="7" minRefreshableVersion="3" recordCount="0" supportSubquery="1" supportAdvancedDrill="1" xr:uid="{6E7DA59B-41CB-484D-9578-C51B7AD1B555}">
  <cacheSource type="external" connectionId="3"/>
  <cacheFields count="3">
    <cacheField name="[Calender_Table].[Date (Month)].[Date (Month)]" caption="Date (Month)" numFmtId="0" hierarchy="1" level="1">
      <sharedItems containsSemiMixedTypes="0" containsNonDate="0" containsString="0"/>
    </cacheField>
    <cacheField name="[Hospital Emergency Room Data-Final].[Age Group].[Age Group]" caption="Age Group" numFmtId="0" hierarchy="17" level="1">
      <sharedItems count="8">
        <s v="0-9"/>
        <s v="10-19"/>
        <s v="20-29"/>
        <s v="30-39"/>
        <s v="40-49"/>
        <s v="50-59"/>
        <s v="60-69"/>
        <s v="70-79"/>
      </sharedItems>
    </cacheField>
    <cacheField name="[Measures].[Count of Age Group]" caption="Count of Age Group" numFmtId="0" hierarchy="32" level="32767"/>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Final].[Patient Id]" caption="Patient Id" attribute="1" defaultMemberUniqueName="[Hospital Emergency Room Data-Final].[Patient Id].[All]" allUniqueName="[Hospital Emergency Room Data-Final].[Patient Id].[All]" dimensionUniqueName="[Hospital Emergency Room Data-Final]" displayFolder="" count="0" memberValueDatatype="130" unbalanced="0"/>
    <cacheHierarchy uniqueName="[Hospital Emergency Room Data-Final].[Patient Admission Date.1]" caption="Patient Admission Date.1" attribute="1" time="1" defaultMemberUniqueName="[Hospital Emergency Room Data-Final].[Patient Admission Date.1].[All]" allUniqueName="[Hospital Emergency Room Data-Final].[Patient Admission Date.1].[All]" dimensionUniqueName="[Hospital Emergency Room Data-Final]" displayFolder="" count="0" memberValueDatatype="7" unbalanced="0"/>
    <cacheHierarchy uniqueName="[Hospital Emergency Room Data-Final].[Patient Admission Date.2]" caption="Patient Admission Date.2" attribute="1" time="1" defaultMemberUniqueName="[Hospital Emergency Room Data-Final].[Patient Admission Date.2].[All]" allUniqueName="[Hospital Emergency Room Data-Final].[Patient Admission Date.2].[All]" dimensionUniqueName="[Hospital Emergency Room Data-Final]" displayFolder="" count="0" memberValueDatatype="7" unbalanced="0"/>
    <cacheHierarchy uniqueName="[Hospital Emergency Room Data-Final].[Patient Admission Date.3]" caption="Patient Admission Date.3" attribute="1" defaultMemberUniqueName="[Hospital Emergency Room Data-Final].[Patient Admission Date.3].[All]" allUniqueName="[Hospital Emergency Room Data-Final].[Patient Admission Date.3].[All]" dimensionUniqueName="[Hospital Emergency Room Data-Final]" displayFolder="" count="0" memberValueDatatype="130" unbalanced="0"/>
    <cacheHierarchy uniqueName="[Hospital Emergency Room Data-Final].[Merged]" caption="Merged" attribute="1" defaultMemberUniqueName="[Hospital Emergency Room Data-Final].[Merged].[All]" allUniqueName="[Hospital Emergency Room Data-Final].[Merged].[All]" dimensionUniqueName="[Hospital Emergency Room Data-Final]" displayFolder="" count="0" memberValueDatatype="130" unbalanced="0"/>
    <cacheHierarchy uniqueName="[Hospital Emergency Room Data-Final].[Patient Gender]" caption="Patient Gender" attribute="1" defaultMemberUniqueName="[Hospital Emergency Room Data-Final].[Patient Gender].[All]" allUniqueName="[Hospital Emergency Room Data-Final].[Patient Gender].[All]" dimensionUniqueName="[Hospital Emergency Room Data-Final]" displayFolder="" count="0" memberValueDatatype="130" unbalanced="0"/>
    <cacheHierarchy uniqueName="[Hospital Emergency Room Data-Final].[Patient Age]" caption="Patient Age" attribute="1" defaultMemberUniqueName="[Hospital Emergency Room Data-Final].[Patient Age].[All]" allUniqueName="[Hospital Emergency Room Data-Final].[Patient Age].[All]" dimensionUniqueName="[Hospital Emergency Room Data-Final]" displayFolder="" count="0" memberValueDatatype="20" unbalanced="0"/>
    <cacheHierarchy uniqueName="[Hospital Emergency Room Data-Final].[Patient Race]" caption="Patient Race" attribute="1" defaultMemberUniqueName="[Hospital Emergency Room Data-Final].[Patient Race].[All]" allUniqueName="[Hospital Emergency Room Data-Final].[Patient Race].[All]" dimensionUniqueName="[Hospital Emergency Room Data-Final]" displayFolder="" count="0" memberValueDatatype="130" unbalanced="0"/>
    <cacheHierarchy uniqueName="[Hospital Emergency Room Data-Final].[Department Referral]" caption="Department Referral" attribute="1" defaultMemberUniqueName="[Hospital Emergency Room Data-Final].[Department Referral].[All]" allUniqueName="[Hospital Emergency Room Data-Final].[Department Referral].[All]" dimensionUniqueName="[Hospital Emergency Room Data-Final]" displayFolder="" count="0" memberValueDatatype="130" unbalanced="0"/>
    <cacheHierarchy uniqueName="[Hospital Emergency Room Data-Final].[Patient Admission Flag]" caption="Patient Admission Flag" attribute="1" defaultMemberUniqueName="[Hospital Emergency Room Data-Final].[Patient Admission Flag].[All]" allUniqueName="[Hospital Emergency Room Data-Final].[Patient Admission Flag].[All]" dimensionUniqueName="[Hospital Emergency Room Data-Final]" displayFolder="" count="0" memberValueDatatype="130" unbalanced="0"/>
    <cacheHierarchy uniqueName="[Hospital Emergency Room Data-Final].[Patient Satisfaction Score]" caption="Patient Satisfaction Score" attribute="1" defaultMemberUniqueName="[Hospital Emergency Room Data-Final].[Patient Satisfaction Score].[All]" allUniqueName="[Hospital Emergency Room Data-Final].[Patient Satisfaction Score].[All]" dimensionUniqueName="[Hospital Emergency Room Data-Final]" displayFolder="" count="0" memberValueDatatype="20" unbalanced="0"/>
    <cacheHierarchy uniqueName="[Hospital Emergency Room Data-Final].[Patient Waittime]" caption="Patient Waittime" attribute="1" defaultMemberUniqueName="[Hospital Emergency Room Data-Final].[Patient Waittime].[All]" allUniqueName="[Hospital Emergency Room Data-Final].[Patient Waittime].[All]" dimensionUniqueName="[Hospital Emergency Room Data-Final]" displayFolder="" count="0" memberValueDatatype="20" unbalanced="0"/>
    <cacheHierarchy uniqueName="[Hospital Emergency Room Data-Final].[Age Group]" caption="Age Group" attribute="1" defaultMemberUniqueName="[Hospital Emergency Room Data-Final].[Age Group].[All]" allUniqueName="[Hospital Emergency Room Data-Final].[Age Group].[All]" dimensionUniqueName="[Hospital Emergency Room Data-Final]" displayFolder="" count="2" memberValueDatatype="130" unbalanced="0">
      <fieldsUsage count="2">
        <fieldUsage x="-1"/>
        <fieldUsage x="1"/>
      </fieldsUsage>
    </cacheHierarchy>
    <cacheHierarchy uniqueName="[Hospital Emergency Room Data-Final].[Patient Attend Status]" caption="Patient Attend Status" attribute="1" defaultMemberUniqueName="[Hospital Emergency Room Data-Final].[Patient Attend Status].[All]" allUniqueName="[Hospital Emergency Room Data-Final].[Patient Attend Status].[All]" dimensionUniqueName="[Hospital Emergency Room Data-Final]"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Final]" caption="__XL_Count Hospital Emergency Room Data-Final" measure="1" displayFolder="" measureGroup="Hospital Emergency Room Data-Final"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Final"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Final"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Final"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Final"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Final"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Final"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Final" uniqueName="[Hospital Emergency Room Data-Final]" caption="Hospital Emergency Room Data-Final"/>
    <dimension measure="1" name="Measures" uniqueName="[Measures]" caption="Measures"/>
  </dimensions>
  <measureGroups count="2">
    <measureGroup name="Calender_Table" caption="Calender_Table"/>
    <measureGroup name="Hospital Emergency Room Data-Final" caption="Hospital Emergency Room Data-Fin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M Asghar" refreshedDate="46289.473731712962" createdVersion="5" refreshedVersion="7" minRefreshableVersion="3" recordCount="0" supportSubquery="1" supportAdvancedDrill="1" xr:uid="{CA13CEA4-C1C1-4DF6-ACCE-EC8F66BA08CD}">
  <cacheSource type="external" connectionId="3"/>
  <cacheFields count="3">
    <cacheField name="[Calender_Table].[Date (Month)].[Date (Month)]" caption="Date (Month)" numFmtId="0" hierarchy="1" level="1">
      <sharedItems containsSemiMixedTypes="0" containsNonDate="0" containsString="0"/>
    </cacheField>
    <cacheField name="[Hospital Emergency Room Data-Final].[Patient Attend Status].[Patient Attend Status]" caption="Patient Attend Status" numFmtId="0" hierarchy="18" level="1">
      <sharedItems count="2">
        <s v="Delay"/>
        <s v="Ontime"/>
      </sharedItems>
    </cacheField>
    <cacheField name="[Measures].[Count of Patient Attend Status]" caption="Count of Patient Attend Status" numFmtId="0" hierarchy="33" level="32767"/>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Final].[Patient Id]" caption="Patient Id" attribute="1" defaultMemberUniqueName="[Hospital Emergency Room Data-Final].[Patient Id].[All]" allUniqueName="[Hospital Emergency Room Data-Final].[Patient Id].[All]" dimensionUniqueName="[Hospital Emergency Room Data-Final]" displayFolder="" count="0" memberValueDatatype="130" unbalanced="0"/>
    <cacheHierarchy uniqueName="[Hospital Emergency Room Data-Final].[Patient Admission Date.1]" caption="Patient Admission Date.1" attribute="1" time="1" defaultMemberUniqueName="[Hospital Emergency Room Data-Final].[Patient Admission Date.1].[All]" allUniqueName="[Hospital Emergency Room Data-Final].[Patient Admission Date.1].[All]" dimensionUniqueName="[Hospital Emergency Room Data-Final]" displayFolder="" count="0" memberValueDatatype="7" unbalanced="0"/>
    <cacheHierarchy uniqueName="[Hospital Emergency Room Data-Final].[Patient Admission Date.2]" caption="Patient Admission Date.2" attribute="1" time="1" defaultMemberUniqueName="[Hospital Emergency Room Data-Final].[Patient Admission Date.2].[All]" allUniqueName="[Hospital Emergency Room Data-Final].[Patient Admission Date.2].[All]" dimensionUniqueName="[Hospital Emergency Room Data-Final]" displayFolder="" count="0" memberValueDatatype="7" unbalanced="0"/>
    <cacheHierarchy uniqueName="[Hospital Emergency Room Data-Final].[Patient Admission Date.3]" caption="Patient Admission Date.3" attribute="1" defaultMemberUniqueName="[Hospital Emergency Room Data-Final].[Patient Admission Date.3].[All]" allUniqueName="[Hospital Emergency Room Data-Final].[Patient Admission Date.3].[All]" dimensionUniqueName="[Hospital Emergency Room Data-Final]" displayFolder="" count="0" memberValueDatatype="130" unbalanced="0"/>
    <cacheHierarchy uniqueName="[Hospital Emergency Room Data-Final].[Merged]" caption="Merged" attribute="1" defaultMemberUniqueName="[Hospital Emergency Room Data-Final].[Merged].[All]" allUniqueName="[Hospital Emergency Room Data-Final].[Merged].[All]" dimensionUniqueName="[Hospital Emergency Room Data-Final]" displayFolder="" count="0" memberValueDatatype="130" unbalanced="0"/>
    <cacheHierarchy uniqueName="[Hospital Emergency Room Data-Final].[Patient Gender]" caption="Patient Gender" attribute="1" defaultMemberUniqueName="[Hospital Emergency Room Data-Final].[Patient Gender].[All]" allUniqueName="[Hospital Emergency Room Data-Final].[Patient Gender].[All]" dimensionUniqueName="[Hospital Emergency Room Data-Final]" displayFolder="" count="0" memberValueDatatype="130" unbalanced="0"/>
    <cacheHierarchy uniqueName="[Hospital Emergency Room Data-Final].[Patient Age]" caption="Patient Age" attribute="1" defaultMemberUniqueName="[Hospital Emergency Room Data-Final].[Patient Age].[All]" allUniqueName="[Hospital Emergency Room Data-Final].[Patient Age].[All]" dimensionUniqueName="[Hospital Emergency Room Data-Final]" displayFolder="" count="0" memberValueDatatype="20" unbalanced="0"/>
    <cacheHierarchy uniqueName="[Hospital Emergency Room Data-Final].[Patient Race]" caption="Patient Race" attribute="1" defaultMemberUniqueName="[Hospital Emergency Room Data-Final].[Patient Race].[All]" allUniqueName="[Hospital Emergency Room Data-Final].[Patient Race].[All]" dimensionUniqueName="[Hospital Emergency Room Data-Final]" displayFolder="" count="0" memberValueDatatype="130" unbalanced="0"/>
    <cacheHierarchy uniqueName="[Hospital Emergency Room Data-Final].[Department Referral]" caption="Department Referral" attribute="1" defaultMemberUniqueName="[Hospital Emergency Room Data-Final].[Department Referral].[All]" allUniqueName="[Hospital Emergency Room Data-Final].[Department Referral].[All]" dimensionUniqueName="[Hospital Emergency Room Data-Final]" displayFolder="" count="0" memberValueDatatype="130" unbalanced="0"/>
    <cacheHierarchy uniqueName="[Hospital Emergency Room Data-Final].[Patient Admission Flag]" caption="Patient Admission Flag" attribute="1" defaultMemberUniqueName="[Hospital Emergency Room Data-Final].[Patient Admission Flag].[All]" allUniqueName="[Hospital Emergency Room Data-Final].[Patient Admission Flag].[All]" dimensionUniqueName="[Hospital Emergency Room Data-Final]" displayFolder="" count="0" memberValueDatatype="130" unbalanced="0"/>
    <cacheHierarchy uniqueName="[Hospital Emergency Room Data-Final].[Patient Satisfaction Score]" caption="Patient Satisfaction Score" attribute="1" defaultMemberUniqueName="[Hospital Emergency Room Data-Final].[Patient Satisfaction Score].[All]" allUniqueName="[Hospital Emergency Room Data-Final].[Patient Satisfaction Score].[All]" dimensionUniqueName="[Hospital Emergency Room Data-Final]" displayFolder="" count="0" memberValueDatatype="20" unbalanced="0"/>
    <cacheHierarchy uniqueName="[Hospital Emergency Room Data-Final].[Patient Waittime]" caption="Patient Waittime" attribute="1" defaultMemberUniqueName="[Hospital Emergency Room Data-Final].[Patient Waittime].[All]" allUniqueName="[Hospital Emergency Room Data-Final].[Patient Waittime].[All]" dimensionUniqueName="[Hospital Emergency Room Data-Final]" displayFolder="" count="0" memberValueDatatype="20" unbalanced="0"/>
    <cacheHierarchy uniqueName="[Hospital Emergency Room Data-Final].[Age Group]" caption="Age Group" attribute="1" defaultMemberUniqueName="[Hospital Emergency Room Data-Final].[Age Group].[All]" allUniqueName="[Hospital Emergency Room Data-Final].[Age Group].[All]" dimensionUniqueName="[Hospital Emergency Room Data-Final]" displayFolder="" count="0" memberValueDatatype="130" unbalanced="0"/>
    <cacheHierarchy uniqueName="[Hospital Emergency Room Data-Final].[Patient Attend Status]" caption="Patient Attend Status" attribute="1" defaultMemberUniqueName="[Hospital Emergency Room Data-Final].[Patient Attend Status].[All]" allUniqueName="[Hospital Emergency Room Data-Final].[Patient Attend Status].[All]" dimensionUniqueName="[Hospital Emergency Room Data-Final]"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Final]" caption="__XL_Count Hospital Emergency Room Data-Final" measure="1" displayFolder="" measureGroup="Hospital Emergency Room Data-Final"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Final"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Final"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Final"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Final"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Final"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Final"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Final" uniqueName="[Hospital Emergency Room Data-Final]" caption="Hospital Emergency Room Data-Final"/>
    <dimension measure="1" name="Measures" uniqueName="[Measures]" caption="Measures"/>
  </dimensions>
  <measureGroups count="2">
    <measureGroup name="Calender_Table" caption="Calender_Table"/>
    <measureGroup name="Hospital Emergency Room Data-Final" caption="Hospital Emergency Room Data-Fin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M Asghar" refreshedDate="46289.473735995372" createdVersion="5" refreshedVersion="7" minRefreshableVersion="3" recordCount="0" supportSubquery="1" supportAdvancedDrill="1" xr:uid="{27B0C102-E57A-4A1B-A65E-6136ED4D9F64}">
  <cacheSource type="external" connectionId="3"/>
  <cacheFields count="3">
    <cacheField name="[Calender_Table].[Date (Month)].[Date (Month)]" caption="Date (Month)" numFmtId="0" hierarchy="1" level="1">
      <sharedItems containsSemiMixedTypes="0" containsNonDate="0" containsString="0"/>
    </cacheField>
    <cacheField name="[Hospital Emergency Room Data-Final].[Patient Gender].[Patient Gender]" caption="Patient Gender" numFmtId="0" hierarchy="10" level="1">
      <sharedItems count="2">
        <s v="Female"/>
        <s v="Male"/>
      </sharedItems>
    </cacheField>
    <cacheField name="[Measures].[Count of Patient Gender]" caption="Count of Patient Gender" numFmtId="0" hierarchy="34" level="32767"/>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Final].[Patient Id]" caption="Patient Id" attribute="1" defaultMemberUniqueName="[Hospital Emergency Room Data-Final].[Patient Id].[All]" allUniqueName="[Hospital Emergency Room Data-Final].[Patient Id].[All]" dimensionUniqueName="[Hospital Emergency Room Data-Final]" displayFolder="" count="0" memberValueDatatype="130" unbalanced="0"/>
    <cacheHierarchy uniqueName="[Hospital Emergency Room Data-Final].[Patient Admission Date.1]" caption="Patient Admission Date.1" attribute="1" time="1" defaultMemberUniqueName="[Hospital Emergency Room Data-Final].[Patient Admission Date.1].[All]" allUniqueName="[Hospital Emergency Room Data-Final].[Patient Admission Date.1].[All]" dimensionUniqueName="[Hospital Emergency Room Data-Final]" displayFolder="" count="0" memberValueDatatype="7" unbalanced="0"/>
    <cacheHierarchy uniqueName="[Hospital Emergency Room Data-Final].[Patient Admission Date.2]" caption="Patient Admission Date.2" attribute="1" time="1" defaultMemberUniqueName="[Hospital Emergency Room Data-Final].[Patient Admission Date.2].[All]" allUniqueName="[Hospital Emergency Room Data-Final].[Patient Admission Date.2].[All]" dimensionUniqueName="[Hospital Emergency Room Data-Final]" displayFolder="" count="0" memberValueDatatype="7" unbalanced="0"/>
    <cacheHierarchy uniqueName="[Hospital Emergency Room Data-Final].[Patient Admission Date.3]" caption="Patient Admission Date.3" attribute="1" defaultMemberUniqueName="[Hospital Emergency Room Data-Final].[Patient Admission Date.3].[All]" allUniqueName="[Hospital Emergency Room Data-Final].[Patient Admission Date.3].[All]" dimensionUniqueName="[Hospital Emergency Room Data-Final]" displayFolder="" count="0" memberValueDatatype="130" unbalanced="0"/>
    <cacheHierarchy uniqueName="[Hospital Emergency Room Data-Final].[Merged]" caption="Merged" attribute="1" defaultMemberUniqueName="[Hospital Emergency Room Data-Final].[Merged].[All]" allUniqueName="[Hospital Emergency Room Data-Final].[Merged].[All]" dimensionUniqueName="[Hospital Emergency Room Data-Final]" displayFolder="" count="0" memberValueDatatype="130" unbalanced="0"/>
    <cacheHierarchy uniqueName="[Hospital Emergency Room Data-Final].[Patient Gender]" caption="Patient Gender" attribute="1" defaultMemberUniqueName="[Hospital Emergency Room Data-Final].[Patient Gender].[All]" allUniqueName="[Hospital Emergency Room Data-Final].[Patient Gender].[All]" dimensionUniqueName="[Hospital Emergency Room Data-Final]" displayFolder="" count="2" memberValueDatatype="130" unbalanced="0">
      <fieldsUsage count="2">
        <fieldUsage x="-1"/>
        <fieldUsage x="1"/>
      </fieldsUsage>
    </cacheHierarchy>
    <cacheHierarchy uniqueName="[Hospital Emergency Room Data-Final].[Patient Age]" caption="Patient Age" attribute="1" defaultMemberUniqueName="[Hospital Emergency Room Data-Final].[Patient Age].[All]" allUniqueName="[Hospital Emergency Room Data-Final].[Patient Age].[All]" dimensionUniqueName="[Hospital Emergency Room Data-Final]" displayFolder="" count="0" memberValueDatatype="20" unbalanced="0"/>
    <cacheHierarchy uniqueName="[Hospital Emergency Room Data-Final].[Patient Race]" caption="Patient Race" attribute="1" defaultMemberUniqueName="[Hospital Emergency Room Data-Final].[Patient Race].[All]" allUniqueName="[Hospital Emergency Room Data-Final].[Patient Race].[All]" dimensionUniqueName="[Hospital Emergency Room Data-Final]" displayFolder="" count="0" memberValueDatatype="130" unbalanced="0"/>
    <cacheHierarchy uniqueName="[Hospital Emergency Room Data-Final].[Department Referral]" caption="Department Referral" attribute="1" defaultMemberUniqueName="[Hospital Emergency Room Data-Final].[Department Referral].[All]" allUniqueName="[Hospital Emergency Room Data-Final].[Department Referral].[All]" dimensionUniqueName="[Hospital Emergency Room Data-Final]" displayFolder="" count="0" memberValueDatatype="130" unbalanced="0"/>
    <cacheHierarchy uniqueName="[Hospital Emergency Room Data-Final].[Patient Admission Flag]" caption="Patient Admission Flag" attribute="1" defaultMemberUniqueName="[Hospital Emergency Room Data-Final].[Patient Admission Flag].[All]" allUniqueName="[Hospital Emergency Room Data-Final].[Patient Admission Flag].[All]" dimensionUniqueName="[Hospital Emergency Room Data-Final]" displayFolder="" count="0" memberValueDatatype="130" unbalanced="0"/>
    <cacheHierarchy uniqueName="[Hospital Emergency Room Data-Final].[Patient Satisfaction Score]" caption="Patient Satisfaction Score" attribute="1" defaultMemberUniqueName="[Hospital Emergency Room Data-Final].[Patient Satisfaction Score].[All]" allUniqueName="[Hospital Emergency Room Data-Final].[Patient Satisfaction Score].[All]" dimensionUniqueName="[Hospital Emergency Room Data-Final]" displayFolder="" count="0" memberValueDatatype="20" unbalanced="0"/>
    <cacheHierarchy uniqueName="[Hospital Emergency Room Data-Final].[Patient Waittime]" caption="Patient Waittime" attribute="1" defaultMemberUniqueName="[Hospital Emergency Room Data-Final].[Patient Waittime].[All]" allUniqueName="[Hospital Emergency Room Data-Final].[Patient Waittime].[All]" dimensionUniqueName="[Hospital Emergency Room Data-Final]" displayFolder="" count="0" memberValueDatatype="20" unbalanced="0"/>
    <cacheHierarchy uniqueName="[Hospital Emergency Room Data-Final].[Age Group]" caption="Age Group" attribute="1" defaultMemberUniqueName="[Hospital Emergency Room Data-Final].[Age Group].[All]" allUniqueName="[Hospital Emergency Room Data-Final].[Age Group].[All]" dimensionUniqueName="[Hospital Emergency Room Data-Final]" displayFolder="" count="0" memberValueDatatype="130" unbalanced="0"/>
    <cacheHierarchy uniqueName="[Hospital Emergency Room Data-Final].[Patient Attend Status]" caption="Patient Attend Status" attribute="1" defaultMemberUniqueName="[Hospital Emergency Room Data-Final].[Patient Attend Status].[All]" allUniqueName="[Hospital Emergency Room Data-Final].[Patient Attend Status].[All]" dimensionUniqueName="[Hospital Emergency Room Data-Final]"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Final]" caption="__XL_Count Hospital Emergency Room Data-Final" measure="1" displayFolder="" measureGroup="Hospital Emergency Room Data-Final"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Final"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Final"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Final"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Final"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Final"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Final"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Final" uniqueName="[Hospital Emergency Room Data-Final]" caption="Hospital Emergency Room Data-Final"/>
    <dimension measure="1" name="Measures" uniqueName="[Measures]" caption="Measures"/>
  </dimensions>
  <measureGroups count="2">
    <measureGroup name="Calender_Table" caption="Calender_Table"/>
    <measureGroup name="Hospital Emergency Room Data-Final" caption="Hospital Emergency Room Data-Fin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M Asghar" refreshedDate="46289.473740393521" createdVersion="5" refreshedVersion="7" minRefreshableVersion="3" recordCount="0" supportSubquery="1" supportAdvancedDrill="1" xr:uid="{66A18FA4-5822-4C03-A370-09EC1F70B8B2}">
  <cacheSource type="external" connectionId="3"/>
  <cacheFields count="3">
    <cacheField name="[Calender_Table].[Date (Month)].[Date (Month)]" caption="Date (Month)" numFmtId="0" hierarchy="1" level="1">
      <sharedItems containsSemiMixedTypes="0" containsNonDate="0" containsString="0"/>
    </cacheField>
    <cacheField name="[Hospital Emergency Room Data-Final].[Department Referral].[Department Referral]" caption="Department Referral" numFmtId="0" hierarchy="13"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Final].[Patient Id]" caption="Patient Id" attribute="1" defaultMemberUniqueName="[Hospital Emergency Room Data-Final].[Patient Id].[All]" allUniqueName="[Hospital Emergency Room Data-Final].[Patient Id].[All]" dimensionUniqueName="[Hospital Emergency Room Data-Final]" displayFolder="" count="0" memberValueDatatype="130" unbalanced="0"/>
    <cacheHierarchy uniqueName="[Hospital Emergency Room Data-Final].[Patient Admission Date.1]" caption="Patient Admission Date.1" attribute="1" time="1" defaultMemberUniqueName="[Hospital Emergency Room Data-Final].[Patient Admission Date.1].[All]" allUniqueName="[Hospital Emergency Room Data-Final].[Patient Admission Date.1].[All]" dimensionUniqueName="[Hospital Emergency Room Data-Final]" displayFolder="" count="0" memberValueDatatype="7" unbalanced="0"/>
    <cacheHierarchy uniqueName="[Hospital Emergency Room Data-Final].[Patient Admission Date.2]" caption="Patient Admission Date.2" attribute="1" time="1" defaultMemberUniqueName="[Hospital Emergency Room Data-Final].[Patient Admission Date.2].[All]" allUniqueName="[Hospital Emergency Room Data-Final].[Patient Admission Date.2].[All]" dimensionUniqueName="[Hospital Emergency Room Data-Final]" displayFolder="" count="0" memberValueDatatype="7" unbalanced="0"/>
    <cacheHierarchy uniqueName="[Hospital Emergency Room Data-Final].[Patient Admission Date.3]" caption="Patient Admission Date.3" attribute="1" defaultMemberUniqueName="[Hospital Emergency Room Data-Final].[Patient Admission Date.3].[All]" allUniqueName="[Hospital Emergency Room Data-Final].[Patient Admission Date.3].[All]" dimensionUniqueName="[Hospital Emergency Room Data-Final]" displayFolder="" count="0" memberValueDatatype="130" unbalanced="0"/>
    <cacheHierarchy uniqueName="[Hospital Emergency Room Data-Final].[Merged]" caption="Merged" attribute="1" defaultMemberUniqueName="[Hospital Emergency Room Data-Final].[Merged].[All]" allUniqueName="[Hospital Emergency Room Data-Final].[Merged].[All]" dimensionUniqueName="[Hospital Emergency Room Data-Final]" displayFolder="" count="0" memberValueDatatype="130" unbalanced="0"/>
    <cacheHierarchy uniqueName="[Hospital Emergency Room Data-Final].[Patient Gender]" caption="Patient Gender" attribute="1" defaultMemberUniqueName="[Hospital Emergency Room Data-Final].[Patient Gender].[All]" allUniqueName="[Hospital Emergency Room Data-Final].[Patient Gender].[All]" dimensionUniqueName="[Hospital Emergency Room Data-Final]" displayFolder="" count="0" memberValueDatatype="130" unbalanced="0"/>
    <cacheHierarchy uniqueName="[Hospital Emergency Room Data-Final].[Patient Age]" caption="Patient Age" attribute="1" defaultMemberUniqueName="[Hospital Emergency Room Data-Final].[Patient Age].[All]" allUniqueName="[Hospital Emergency Room Data-Final].[Patient Age].[All]" dimensionUniqueName="[Hospital Emergency Room Data-Final]" displayFolder="" count="0" memberValueDatatype="20" unbalanced="0"/>
    <cacheHierarchy uniqueName="[Hospital Emergency Room Data-Final].[Patient Race]" caption="Patient Race" attribute="1" defaultMemberUniqueName="[Hospital Emergency Room Data-Final].[Patient Race].[All]" allUniqueName="[Hospital Emergency Room Data-Final].[Patient Race].[All]" dimensionUniqueName="[Hospital Emergency Room Data-Final]" displayFolder="" count="0" memberValueDatatype="130" unbalanced="0"/>
    <cacheHierarchy uniqueName="[Hospital Emergency Room Data-Final].[Department Referral]" caption="Department Referral" attribute="1" defaultMemberUniqueName="[Hospital Emergency Room Data-Final].[Department Referral].[All]" allUniqueName="[Hospital Emergency Room Data-Final].[Department Referral].[All]" dimensionUniqueName="[Hospital Emergency Room Data-Final]" displayFolder="" count="2" memberValueDatatype="130" unbalanced="0">
      <fieldsUsage count="2">
        <fieldUsage x="-1"/>
        <fieldUsage x="1"/>
      </fieldsUsage>
    </cacheHierarchy>
    <cacheHierarchy uniqueName="[Hospital Emergency Room Data-Final].[Patient Admission Flag]" caption="Patient Admission Flag" attribute="1" defaultMemberUniqueName="[Hospital Emergency Room Data-Final].[Patient Admission Flag].[All]" allUniqueName="[Hospital Emergency Room Data-Final].[Patient Admission Flag].[All]" dimensionUniqueName="[Hospital Emergency Room Data-Final]" displayFolder="" count="0" memberValueDatatype="130" unbalanced="0"/>
    <cacheHierarchy uniqueName="[Hospital Emergency Room Data-Final].[Patient Satisfaction Score]" caption="Patient Satisfaction Score" attribute="1" defaultMemberUniqueName="[Hospital Emergency Room Data-Final].[Patient Satisfaction Score].[All]" allUniqueName="[Hospital Emergency Room Data-Final].[Patient Satisfaction Score].[All]" dimensionUniqueName="[Hospital Emergency Room Data-Final]" displayFolder="" count="0" memberValueDatatype="20" unbalanced="0"/>
    <cacheHierarchy uniqueName="[Hospital Emergency Room Data-Final].[Patient Waittime]" caption="Patient Waittime" attribute="1" defaultMemberUniqueName="[Hospital Emergency Room Data-Final].[Patient Waittime].[All]" allUniqueName="[Hospital Emergency Room Data-Final].[Patient Waittime].[All]" dimensionUniqueName="[Hospital Emergency Room Data-Final]" displayFolder="" count="0" memberValueDatatype="20" unbalanced="0"/>
    <cacheHierarchy uniqueName="[Hospital Emergency Room Data-Final].[Age Group]" caption="Age Group" attribute="1" defaultMemberUniqueName="[Hospital Emergency Room Data-Final].[Age Group].[All]" allUniqueName="[Hospital Emergency Room Data-Final].[Age Group].[All]" dimensionUniqueName="[Hospital Emergency Room Data-Final]" displayFolder="" count="0" memberValueDatatype="130" unbalanced="0"/>
    <cacheHierarchy uniqueName="[Hospital Emergency Room Data-Final].[Patient Attend Status]" caption="Patient Attend Status" attribute="1" defaultMemberUniqueName="[Hospital Emergency Room Data-Final].[Patient Attend Status].[All]" allUniqueName="[Hospital Emergency Room Data-Final].[Patient Attend Status].[All]" dimensionUniqueName="[Hospital Emergency Room Data-Final]"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Final]" caption="__XL_Count Hospital Emergency Room Data-Final" measure="1" displayFolder="" measureGroup="Hospital Emergency Room Data-Final"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Final"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Final"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Final"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Final"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Final"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Final"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Final" uniqueName="[Hospital Emergency Room Data-Final]" caption="Hospital Emergency Room Data-Final"/>
    <dimension measure="1" name="Measures" uniqueName="[Measures]" caption="Measures"/>
  </dimensions>
  <measureGroups count="2">
    <measureGroup name="Calender_Table" caption="Calender_Table"/>
    <measureGroup name="Hospital Emergency Room Data-Final" caption="Hospital Emergency Room Data-Fin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M Asghar" refreshedDate="46289.473744675925" createdVersion="5" refreshedVersion="7" minRefreshableVersion="3" recordCount="0" supportSubquery="1" supportAdvancedDrill="1" xr:uid="{CB8FE81A-11B5-447F-A3DF-04974B4CA5E9}">
  <cacheSource type="external" connectionId="3"/>
  <cacheFields count="4">
    <cacheField name="[Calender_Table].[Date (Month)].[Date (Month)]" caption="Date (Month)" numFmtId="0" hierarchy="1" level="1">
      <sharedItems containsNonDate="0" count="1">
        <s v="Jun"/>
      </sharedItems>
    </cacheField>
    <cacheField name="[Calender_Table].[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er_Table].[Date (Quarter)].[Date (Quarter)]" caption="Date (Quarter)" numFmtId="0" hierarchy="4" level="1">
      <sharedItems containsNonDate="0" count="1">
        <s v="Qtr2"/>
      </sharedItems>
    </cacheField>
    <cacheField name="[Calender_Table].[Date (Year)].[Date (Year)]" caption="Date (Year)" numFmtId="0" hierarchy="3" level="1">
      <sharedItems count="1">
        <s v="2024"/>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Final].[Patient Id]" caption="Patient Id" attribute="1" defaultMemberUniqueName="[Hospital Emergency Room Data-Final].[Patient Id].[All]" allUniqueName="[Hospital Emergency Room Data-Final].[Patient Id].[All]" dimensionUniqueName="[Hospital Emergency Room Data-Final]" displayFolder="" count="2" memberValueDatatype="130" unbalanced="0"/>
    <cacheHierarchy uniqueName="[Hospital Emergency Room Data-Final].[Patient Admission Date.1]" caption="Patient Admission Date.1" attribute="1" time="1" defaultMemberUniqueName="[Hospital Emergency Room Data-Final].[Patient Admission Date.1].[All]" allUniqueName="[Hospital Emergency Room Data-Final].[Patient Admission Date.1].[All]" dimensionUniqueName="[Hospital Emergency Room Data-Final]" displayFolder="" count="2" memberValueDatatype="7" unbalanced="0"/>
    <cacheHierarchy uniqueName="[Hospital Emergency Room Data-Final].[Patient Admission Date.2]" caption="Patient Admission Date.2" attribute="1" time="1" defaultMemberUniqueName="[Hospital Emergency Room Data-Final].[Patient Admission Date.2].[All]" allUniqueName="[Hospital Emergency Room Data-Final].[Patient Admission Date.2].[All]" dimensionUniqueName="[Hospital Emergency Room Data-Final]" displayFolder="" count="2" memberValueDatatype="7" unbalanced="0"/>
    <cacheHierarchy uniqueName="[Hospital Emergency Room Data-Final].[Patient Admission Date.3]" caption="Patient Admission Date.3" attribute="1" defaultMemberUniqueName="[Hospital Emergency Room Data-Final].[Patient Admission Date.3].[All]" allUniqueName="[Hospital Emergency Room Data-Final].[Patient Admission Date.3].[All]" dimensionUniqueName="[Hospital Emergency Room Data-Final]" displayFolder="" count="2" memberValueDatatype="130" unbalanced="0"/>
    <cacheHierarchy uniqueName="[Hospital Emergency Room Data-Final].[Merged]" caption="Merged" attribute="1" defaultMemberUniqueName="[Hospital Emergency Room Data-Final].[Merged].[All]" allUniqueName="[Hospital Emergency Room Data-Final].[Merged].[All]" dimensionUniqueName="[Hospital Emergency Room Data-Final]" displayFolder="" count="2" memberValueDatatype="130" unbalanced="0"/>
    <cacheHierarchy uniqueName="[Hospital Emergency Room Data-Final].[Patient Gender]" caption="Patient Gender" attribute="1" defaultMemberUniqueName="[Hospital Emergency Room Data-Final].[Patient Gender].[All]" allUniqueName="[Hospital Emergency Room Data-Final].[Patient Gender].[All]" dimensionUniqueName="[Hospital Emergency Room Data-Final]" displayFolder="" count="2" memberValueDatatype="130" unbalanced="0"/>
    <cacheHierarchy uniqueName="[Hospital Emergency Room Data-Final].[Patient Age]" caption="Patient Age" attribute="1" defaultMemberUniqueName="[Hospital Emergency Room Data-Final].[Patient Age].[All]" allUniqueName="[Hospital Emergency Room Data-Final].[Patient Age].[All]" dimensionUniqueName="[Hospital Emergency Room Data-Final]" displayFolder="" count="2" memberValueDatatype="20" unbalanced="0"/>
    <cacheHierarchy uniqueName="[Hospital Emergency Room Data-Final].[Patient Race]" caption="Patient Race" attribute="1" defaultMemberUniqueName="[Hospital Emergency Room Data-Final].[Patient Race].[All]" allUniqueName="[Hospital Emergency Room Data-Final].[Patient Race].[All]" dimensionUniqueName="[Hospital Emergency Room Data-Final]" displayFolder="" count="2" memberValueDatatype="130" unbalanced="0"/>
    <cacheHierarchy uniqueName="[Hospital Emergency Room Data-Final].[Department Referral]" caption="Department Referral" attribute="1" defaultMemberUniqueName="[Hospital Emergency Room Data-Final].[Department Referral].[All]" allUniqueName="[Hospital Emergency Room Data-Final].[Department Referral].[All]" dimensionUniqueName="[Hospital Emergency Room Data-Final]" displayFolder="" count="2" memberValueDatatype="130" unbalanced="0"/>
    <cacheHierarchy uniqueName="[Hospital Emergency Room Data-Final].[Patient Admission Flag]" caption="Patient Admission Flag" attribute="1" defaultMemberUniqueName="[Hospital Emergency Room Data-Final].[Patient Admission Flag].[All]" allUniqueName="[Hospital Emergency Room Data-Final].[Patient Admission Flag].[All]" dimensionUniqueName="[Hospital Emergency Room Data-Final]" displayFolder="" count="2" memberValueDatatype="130" unbalanced="0"/>
    <cacheHierarchy uniqueName="[Hospital Emergency Room Data-Final].[Patient Satisfaction Score]" caption="Patient Satisfaction Score" attribute="1" defaultMemberUniqueName="[Hospital Emergency Room Data-Final].[Patient Satisfaction Score].[All]" allUniqueName="[Hospital Emergency Room Data-Final].[Patient Satisfaction Score].[All]" dimensionUniqueName="[Hospital Emergency Room Data-Final]" displayFolder="" count="2" memberValueDatatype="20" unbalanced="0"/>
    <cacheHierarchy uniqueName="[Hospital Emergency Room Data-Final].[Patient Waittime]" caption="Patient Waittime" attribute="1" defaultMemberUniqueName="[Hospital Emergency Room Data-Final].[Patient Waittime].[All]" allUniqueName="[Hospital Emergency Room Data-Final].[Patient Waittime].[All]" dimensionUniqueName="[Hospital Emergency Room Data-Final]" displayFolder="" count="2" memberValueDatatype="20" unbalanced="0"/>
    <cacheHierarchy uniqueName="[Hospital Emergency Room Data-Final].[Age Group]" caption="Age Group" attribute="1" defaultMemberUniqueName="[Hospital Emergency Room Data-Final].[Age Group].[All]" allUniqueName="[Hospital Emergency Room Data-Final].[Age Group].[All]" dimensionUniqueName="[Hospital Emergency Room Data-Final]" displayFolder="" count="2" memberValueDatatype="130" unbalanced="0"/>
    <cacheHierarchy uniqueName="[Hospital Emergency Room Data-Final].[Patient Attend Status]" caption="Patient Attend Status" attribute="1" defaultMemberUniqueName="[Hospital Emergency Room Data-Final].[Patient Attend Status].[All]" allUniqueName="[Hospital Emergency Room Data-Final].[Patient Attend Status].[All]" dimensionUniqueName="[Hospital Emergency Room Data-Final]"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Final]" caption="__XL_Count Hospital Emergency Room Data-Final" measure="1" displayFolder="" measureGroup="Hospital Emergency Room Data-Final"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Final"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Final"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Final"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Final"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Final"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Final"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Final" uniqueName="[Hospital Emergency Room Data-Final]" caption="Hospital Emergency Room Data-Final"/>
    <dimension measure="1" name="Measures" uniqueName="[Measures]" caption="Measures"/>
  </dimensions>
  <measureGroups count="2">
    <measureGroup name="Calender_Table" caption="Calender_Table"/>
    <measureGroup name="Hospital Emergency Room Data-Final" caption="Hospital Emergency Room Data-Fin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M Asghar" refreshedDate="46220.485254050924" createdVersion="3" refreshedVersion="7" minRefreshableVersion="3" recordCount="0" supportSubquery="1" supportAdvancedDrill="1" xr:uid="{3EB54A95-730C-4F75-812F-A67813440144}">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Final].[Patient Id]" caption="Patient Id" attribute="1" defaultMemberUniqueName="[Hospital Emergency Room Data-Final].[Patient Id].[All]" allUniqueName="[Hospital Emergency Room Data-Final].[Patient Id].[All]" dimensionUniqueName="[Hospital Emergency Room Data-Final]" displayFolder="" count="0" memberValueDatatype="130" unbalanced="0"/>
    <cacheHierarchy uniqueName="[Hospital Emergency Room Data-Final].[Patient Admission Date.1]" caption="Patient Admission Date.1" attribute="1" time="1" defaultMemberUniqueName="[Hospital Emergency Room Data-Final].[Patient Admission Date.1].[All]" allUniqueName="[Hospital Emergency Room Data-Final].[Patient Admission Date.1].[All]" dimensionUniqueName="[Hospital Emergency Room Data-Final]" displayFolder="" count="0" memberValueDatatype="7" unbalanced="0"/>
    <cacheHierarchy uniqueName="[Hospital Emergency Room Data-Final].[Patient Admission Date.2]" caption="Patient Admission Date.2" attribute="1" time="1" defaultMemberUniqueName="[Hospital Emergency Room Data-Final].[Patient Admission Date.2].[All]" allUniqueName="[Hospital Emergency Room Data-Final].[Patient Admission Date.2].[All]" dimensionUniqueName="[Hospital Emergency Room Data-Final]" displayFolder="" count="0" memberValueDatatype="7" unbalanced="0"/>
    <cacheHierarchy uniqueName="[Hospital Emergency Room Data-Final].[Patient Admission Date.3]" caption="Patient Admission Date.3" attribute="1" defaultMemberUniqueName="[Hospital Emergency Room Data-Final].[Patient Admission Date.3].[All]" allUniqueName="[Hospital Emergency Room Data-Final].[Patient Admission Date.3].[All]" dimensionUniqueName="[Hospital Emergency Room Data-Final]" displayFolder="" count="0" memberValueDatatype="130" unbalanced="0"/>
    <cacheHierarchy uniqueName="[Hospital Emergency Room Data-Final].[Merged]" caption="Merged" attribute="1" defaultMemberUniqueName="[Hospital Emergency Room Data-Final].[Merged].[All]" allUniqueName="[Hospital Emergency Room Data-Final].[Merged].[All]" dimensionUniqueName="[Hospital Emergency Room Data-Final]" displayFolder="" count="0" memberValueDatatype="130" unbalanced="0"/>
    <cacheHierarchy uniqueName="[Hospital Emergency Room Data-Final].[Patient Gender]" caption="Patient Gender" attribute="1" defaultMemberUniqueName="[Hospital Emergency Room Data-Final].[Patient Gender].[All]" allUniqueName="[Hospital Emergency Room Data-Final].[Patient Gender].[All]" dimensionUniqueName="[Hospital Emergency Room Data-Final]" displayFolder="" count="0" memberValueDatatype="130" unbalanced="0"/>
    <cacheHierarchy uniqueName="[Hospital Emergency Room Data-Final].[Patient Age]" caption="Patient Age" attribute="1" defaultMemberUniqueName="[Hospital Emergency Room Data-Final].[Patient Age].[All]" allUniqueName="[Hospital Emergency Room Data-Final].[Patient Age].[All]" dimensionUniqueName="[Hospital Emergency Room Data-Final]" displayFolder="" count="0" memberValueDatatype="20" unbalanced="0"/>
    <cacheHierarchy uniqueName="[Hospital Emergency Room Data-Final].[Patient Race]" caption="Patient Race" attribute="1" defaultMemberUniqueName="[Hospital Emergency Room Data-Final].[Patient Race].[All]" allUniqueName="[Hospital Emergency Room Data-Final].[Patient Race].[All]" dimensionUniqueName="[Hospital Emergency Room Data-Final]" displayFolder="" count="0" memberValueDatatype="130" unbalanced="0"/>
    <cacheHierarchy uniqueName="[Hospital Emergency Room Data-Final].[Department Referral]" caption="Department Referral" attribute="1" defaultMemberUniqueName="[Hospital Emergency Room Data-Final].[Department Referral].[All]" allUniqueName="[Hospital Emergency Room Data-Final].[Department Referral].[All]" dimensionUniqueName="[Hospital Emergency Room Data-Final]" displayFolder="" count="0" memberValueDatatype="130" unbalanced="0"/>
    <cacheHierarchy uniqueName="[Hospital Emergency Room Data-Final].[Patient Admission Flag]" caption="Patient Admission Flag" attribute="1" defaultMemberUniqueName="[Hospital Emergency Room Data-Final].[Patient Admission Flag].[All]" allUniqueName="[Hospital Emergency Room Data-Final].[Patient Admission Flag].[All]" dimensionUniqueName="[Hospital Emergency Room Data-Final]" displayFolder="" count="0" memberValueDatatype="130" unbalanced="0"/>
    <cacheHierarchy uniqueName="[Hospital Emergency Room Data-Final].[Patient Satisfaction Score]" caption="Patient Satisfaction Score" attribute="1" defaultMemberUniqueName="[Hospital Emergency Room Data-Final].[Patient Satisfaction Score].[All]" allUniqueName="[Hospital Emergency Room Data-Final].[Patient Satisfaction Score].[All]" dimensionUniqueName="[Hospital Emergency Room Data-Final]" displayFolder="" count="0" memberValueDatatype="20" unbalanced="0"/>
    <cacheHierarchy uniqueName="[Hospital Emergency Room Data-Final].[Patient Waittime]" caption="Patient Waittime" attribute="1" defaultMemberUniqueName="[Hospital Emergency Room Data-Final].[Patient Waittime].[All]" allUniqueName="[Hospital Emergency Room Data-Final].[Patient Waittime].[All]" dimensionUniqueName="[Hospital Emergency Room Data-Final]" displayFolder="" count="0" memberValueDatatype="20" unbalanced="0"/>
    <cacheHierarchy uniqueName="[Hospital Emergency Room Data-Final].[Age Group]" caption="Age Group" attribute="1" defaultMemberUniqueName="[Hospital Emergency Room Data-Final].[Age Group].[All]" allUniqueName="[Hospital Emergency Room Data-Final].[Age Group].[All]" dimensionUniqueName="[Hospital Emergency Room Data-Final]" displayFolder="" count="0" memberValueDatatype="130" unbalanced="0"/>
    <cacheHierarchy uniqueName="[Hospital Emergency Room Data-Final].[Patient Attend Status]" caption="Patient Attend Status" attribute="1" defaultMemberUniqueName="[Hospital Emergency Room Data-Final].[Patient Attend Status].[All]" allUniqueName="[Hospital Emergency Room Data-Final].[Patient Attend Status].[All]" dimensionUniqueName="[Hospital Emergency Room Data-Final]"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Final]" caption="__XL_Count Hospital Emergency Room Data-Final" measure="1" displayFolder="" measureGroup="Hospital Emergency Room Data-Final"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Fin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Final"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Final"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Final"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Final"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Final"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Final"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Final"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Final"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2239172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F7985C-8254-4C85-9288-C34A240B3189}" name="PivotTable12" cacheId="48" applyNumberFormats="0" applyBorderFormats="0" applyFontFormats="0" applyPatternFormats="0" applyAlignmentFormats="0" applyWidthHeightFormats="1" dataCaption="Values" tag="4dbe0997-fe90-4ddd-bfaf-8695250c32be" updatedVersion="7" minRefreshableVersion="3" subtotalHiddenItems="1" itemPrintTitles="1" createdVersion="5" indent="0" outline="1" outlineData="1" multipleFieldFilters="0" chartFormat="15">
  <location ref="A54:A5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745">
      <pivotArea outline="0" collapsedLevelsAreSubtotals="1" fieldPosition="0"/>
    </format>
  </formats>
  <pivotHierarchies count="36">
    <pivotHierarchy dragToData="1"/>
    <pivotHierarchy multipleItemSelectionAllowed="1" dragToData="1">
      <members count="1" level="1">
        <member name="[Calender_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Final]"/>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239BFD-714E-4D59-AFF9-1E3DF9C6E14B}" name="PivotTable11" cacheId="45" applyNumberFormats="0" applyBorderFormats="0" applyFontFormats="0" applyPatternFormats="0" applyAlignmentFormats="0" applyWidthHeightFormats="1" dataCaption="Values" tag="4dbe0997-fe90-4ddd-bfaf-8695250c32be" updatedVersion="7" minRefreshableVersion="3" subtotalHiddenItems="1" itemPrintTitles="1" createdVersion="5" indent="0" outline="1" outlineData="1" multipleFieldFilters="0" chartFormat="15">
  <location ref="D48:E57"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3"/>
    </i>
    <i>
      <x v="1"/>
    </i>
    <i>
      <x/>
    </i>
    <i>
      <x v="6"/>
    </i>
    <i>
      <x v="5"/>
    </i>
    <i>
      <x v="2"/>
    </i>
    <i>
      <x v="4"/>
    </i>
    <i t="grand">
      <x/>
    </i>
  </rowItems>
  <colItems count="1">
    <i/>
  </colItems>
  <dataFields count="1">
    <dataField name="Count of Department Referral" fld="2" subtotal="count" baseField="0" baseItem="0"/>
  </dataFields>
  <formats count="2">
    <format dxfId="747">
      <pivotArea outline="0" collapsedLevelsAreSubtotals="1" fieldPosition="0"/>
    </format>
    <format dxfId="746">
      <pivotArea collapsedLevelsAreSubtotals="1" fieldPosition="0">
        <references count="1">
          <reference field="1" count="0"/>
        </references>
      </pivotArea>
    </format>
  </format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Final]"/>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0848B9-ECF3-4544-999A-E63BE6671364}" name="PivotTable10" cacheId="42" applyNumberFormats="0" applyBorderFormats="0" applyFontFormats="0" applyPatternFormats="0" applyAlignmentFormats="0" applyWidthHeightFormats="1" dataCaption="Values" tag="4dbe0997-fe90-4ddd-bfaf-8695250c32be" updatedVersion="7" minRefreshableVersion="3" subtotalHiddenItems="1" itemPrintTitles="1" createdVersion="5" indent="0" outline="1" outlineData="1" multipleFieldFilters="0" chartFormat="12">
  <location ref="A48:B51"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748">
      <pivotArea outline="0" collapsedLevelsAreSubtotals="1" fieldPosition="0"/>
    </format>
  </formats>
  <chartFormats count="6">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 count="1" selected="0">
            <x v="0"/>
          </reference>
        </references>
      </pivotArea>
    </chartFormat>
    <chartFormat chart="8" format="3">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Final]"/>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840F97-1AE1-432E-A951-9448CEC749B1}" name="PivotTable9" cacheId="39" applyNumberFormats="0" applyBorderFormats="0" applyFontFormats="0" applyPatternFormats="0" applyAlignmentFormats="0" applyWidthHeightFormats="1" dataCaption="Values" tag="4dbe0997-fe90-4ddd-bfaf-8695250c32be" updatedVersion="7" minRefreshableVersion="3" subtotalHiddenItems="1" itemPrintTitles="1" createdVersion="5" indent="0" outline="1" outlineData="1" multipleFieldFilters="0" chartFormat="7">
  <location ref="A42:B4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2">
    <format dxfId="750">
      <pivotArea outline="0" collapsedLevelsAreSubtotals="1" fieldPosition="0"/>
    </format>
    <format dxfId="749">
      <pivotArea collapsedLevelsAreSubtotals="1" fieldPosition="0">
        <references count="1">
          <reference field="1" count="0"/>
        </references>
      </pivotArea>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Final]"/>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2EFBD7-3AEB-4BA2-BFE2-D647FD0B426A}" name="PivotTable8" cacheId="36" dataPosition="0" applyNumberFormats="0" applyBorderFormats="0" applyFontFormats="0" applyPatternFormats="0" applyAlignmentFormats="0" applyWidthHeightFormats="1" dataCaption="Values" tag="4dbe0997-fe90-4ddd-bfaf-8695250c32be" updatedVersion="7" minRefreshableVersion="3" subtotalHiddenItems="1" itemPrintTitles="1" createdVersion="5" indent="0" outline="1" outlineData="1" multipleFieldFilters="0" chartFormat="4">
  <location ref="A29:B3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752">
      <pivotArea outline="0" collapsedLevelsAreSubtotals="1" fieldPosition="0"/>
    </format>
    <format dxfId="751">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Final]"/>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08384E-8F63-4304-ADAE-FB82C9E83C75}" name="PivotTable5" cacheId="27" applyNumberFormats="0" applyBorderFormats="0" applyFontFormats="0" applyPatternFormats="0" applyAlignmentFormats="0" applyWidthHeightFormats="1" dataCaption="Values" tag="4dbe0997-fe90-4ddd-bfaf-8695250c32be" updatedVersion="7" minRefreshableVersion="3" subtotalHiddenItems="1" itemPrintTitles="1" createdVersion="5" indent="0" outline="1" outlineData="1" multipleFieldFilters="0" chartFormat="22">
  <location ref="I3:J36"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2">
        <item x="0"/>
        <item x="1"/>
      </items>
    </pivotField>
    <pivotField axis="axisRow" allDrilled="1" subtotalTop="0" showAll="0" dataSourceSort="1" defaultSubtotal="0">
      <items count="366">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x="139" e="0"/>
        <item x="140" e="0"/>
        <item x="141" e="0"/>
        <item x="142" e="0"/>
        <item x="143" e="0"/>
        <item x="144" e="0"/>
        <item x="145" e="0"/>
        <item x="146" e="0"/>
        <item x="147" e="0"/>
        <item x="148" e="0"/>
        <item x="149" e="0"/>
        <item x="150" e="0"/>
        <item x="151" e="0"/>
        <item x="152" e="0"/>
        <item x="153" e="0"/>
        <item x="154" e="0"/>
        <item x="155" e="0"/>
        <item x="156" e="0"/>
        <item x="157" e="0"/>
        <item x="158" e="0"/>
        <item x="159" e="0"/>
        <item x="160" e="0"/>
        <item x="161" e="0"/>
        <item x="162" e="0"/>
        <item x="163" e="0"/>
        <item x="164" e="0"/>
        <item x="165" e="0"/>
        <item x="166" e="0"/>
        <item x="167" e="0"/>
        <item x="168" e="0"/>
        <item x="169" e="0"/>
        <item x="170" e="0"/>
        <item x="171" e="0"/>
        <item x="172" e="0"/>
        <item x="173" e="0"/>
        <item x="174" e="0"/>
        <item x="175" e="0"/>
        <item x="176" e="0"/>
        <item x="177" e="0"/>
        <item x="178" e="0"/>
        <item x="179" e="0"/>
        <item x="180" e="0"/>
        <item x="181" e="0"/>
        <item x="182" e="0"/>
        <item x="183" e="0"/>
        <item x="184" e="0"/>
        <item x="185" e="0"/>
        <item x="186" e="0"/>
        <item x="187" e="0"/>
        <item x="188" e="0"/>
        <item x="189" e="0"/>
        <item x="190" e="0"/>
        <item x="191" e="0"/>
        <item x="192" e="0"/>
        <item x="193" e="0"/>
        <item x="194" e="0"/>
        <item x="195" e="0"/>
        <item x="196" e="0"/>
        <item x="197" e="0"/>
        <item x="198" e="0"/>
        <item x="199" e="0"/>
        <item x="200" e="0"/>
        <item x="201" e="0"/>
        <item x="202" e="0"/>
        <item x="203" e="0"/>
        <item x="204" e="0"/>
        <item x="205" e="0"/>
        <item x="206" e="0"/>
        <item x="207" e="0"/>
        <item x="208" e="0"/>
        <item x="209" e="0"/>
        <item x="210" e="0"/>
        <item x="211" e="0"/>
        <item x="212" e="0"/>
        <item x="213" e="0"/>
        <item x="214" e="0"/>
        <item x="215" e="0"/>
        <item x="216" e="0"/>
        <item x="217" e="0"/>
        <item x="218" e="0"/>
        <item x="219" e="0"/>
        <item x="220" e="0"/>
        <item x="221" e="0"/>
        <item x="222" e="0"/>
        <item x="223" e="0"/>
        <item x="224" e="0"/>
        <item x="225" e="0"/>
        <item x="226" e="0"/>
        <item x="227" e="0"/>
        <item x="228" e="0"/>
        <item x="229" e="0"/>
        <item x="230" e="0"/>
        <item x="231" e="0"/>
        <item x="232" e="0"/>
        <item x="233" e="0"/>
        <item x="234" e="0"/>
        <item x="235" e="0"/>
        <item x="236" e="0"/>
        <item x="237" e="0"/>
        <item x="238" e="0"/>
        <item x="239" e="0"/>
        <item x="240" e="0"/>
        <item x="241" e="0"/>
        <item x="242" e="0"/>
        <item x="243" e="0"/>
        <item x="244" e="0"/>
        <item x="245" e="0"/>
        <item x="246" e="0"/>
        <item x="247" e="0"/>
        <item x="248" e="0"/>
        <item x="249" e="0"/>
        <item x="250" e="0"/>
        <item x="251" e="0"/>
        <item x="252" e="0"/>
        <item x="253" e="0"/>
        <item x="254" e="0"/>
        <item x="255" e="0"/>
        <item x="256" e="0"/>
        <item x="257" e="0"/>
        <item x="258" e="0"/>
        <item x="259" e="0"/>
        <item x="260" e="0"/>
        <item x="261" e="0"/>
        <item x="262" e="0"/>
        <item x="263" e="0"/>
        <item x="264" e="0"/>
        <item x="265" e="0"/>
        <item x="266" e="0"/>
        <item x="267" e="0"/>
        <item x="268" e="0"/>
        <item x="269" e="0"/>
        <item x="270" e="0"/>
        <item x="271" e="0"/>
        <item x="272" e="0"/>
        <item x="273" e="0"/>
        <item x="274" e="0"/>
        <item x="275" e="0"/>
        <item x="276" e="0"/>
        <item x="277" e="0"/>
        <item x="278" e="0"/>
        <item x="279" e="0"/>
        <item x="280" e="0"/>
        <item x="281" e="0"/>
        <item x="282" e="0"/>
        <item x="283" e="0"/>
        <item x="284" e="0"/>
        <item x="285" e="0"/>
        <item x="286" e="0"/>
        <item x="287" e="0"/>
        <item x="288" e="0"/>
        <item x="289" e="0"/>
        <item x="290" e="0"/>
        <item x="291" e="0"/>
        <item x="292" e="0"/>
        <item x="293" e="0"/>
        <item x="294" e="0"/>
        <item x="295" e="0"/>
        <item x="296" e="0"/>
        <item x="297" e="0"/>
        <item x="298" e="0"/>
        <item x="299" e="0"/>
        <item x="300" e="0"/>
        <item x="301" e="0"/>
        <item x="302" e="0"/>
        <item x="303" e="0"/>
        <item x="304" e="0"/>
        <item x="305" e="0"/>
        <item x="306" e="0"/>
        <item x="307" e="0"/>
        <item x="308" e="0"/>
        <item x="309" e="0"/>
        <item x="310" e="0"/>
        <item x="311" e="0"/>
        <item x="312" e="0"/>
        <item x="313" e="0"/>
        <item x="314" e="0"/>
        <item x="315" e="0"/>
        <item x="316" e="0"/>
        <item x="317" e="0"/>
        <item x="318" e="0"/>
        <item x="319" e="0"/>
        <item x="320" e="0"/>
        <item x="321" e="0"/>
        <item x="322" e="0"/>
        <item x="323" e="0"/>
        <item x="324" e="0"/>
        <item x="325" e="0"/>
        <item x="326" e="0"/>
        <item x="327" e="0"/>
        <item x="328" e="0"/>
        <item x="329" e="0"/>
        <item x="330" e="0"/>
        <item x="331" e="0"/>
        <item x="332" e="0"/>
        <item x="333" e="0"/>
        <item x="334" e="0"/>
        <item x="335" e="0"/>
        <item x="336" e="0"/>
        <item x="337" e="0"/>
        <item x="338" e="0"/>
        <item x="339" e="0"/>
        <item x="340" e="0"/>
        <item x="341" e="0"/>
        <item x="342" e="0"/>
        <item x="343" e="0"/>
        <item x="344" e="0"/>
        <item x="345" e="0"/>
        <item x="346" e="0"/>
        <item x="347" e="0"/>
        <item x="348" e="0"/>
        <item x="349" e="0"/>
        <item x="350" e="0"/>
        <item x="351" e="0"/>
        <item x="352" e="0"/>
        <item x="353" e="0"/>
        <item x="354" e="0"/>
        <item x="355" e="0"/>
        <item x="356" e="0"/>
        <item x="357" e="0"/>
        <item x="358" e="0"/>
        <item x="359" e="0"/>
        <item x="360" e="0"/>
        <item x="361" e="0"/>
        <item x="362" e="0"/>
        <item x="363" e="0"/>
        <item x="364" e="0"/>
        <item x="365" e="0"/>
      </items>
    </pivotField>
    <pivotField dataField="1" subtotalTop="0" showAll="0" defaultSubtotal="0"/>
  </pivotFields>
  <rowFields count="3">
    <field x="0"/>
    <field x="2"/>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Waittime" fld="3" subtotal="average" baseField="2" baseItem="1"/>
  </dataFields>
  <formats count="366">
    <format dxfId="1118">
      <pivotArea collapsedLevelsAreSubtotals="1" fieldPosition="0">
        <references count="2">
          <reference field="0" count="0" selected="0"/>
          <reference field="2" count="1">
            <x v="182"/>
          </reference>
        </references>
      </pivotArea>
    </format>
    <format dxfId="1117">
      <pivotArea collapsedLevelsAreSubtotals="1" fieldPosition="0">
        <references count="2">
          <reference field="0" count="0" selected="0"/>
          <reference field="2" count="1">
            <x v="183"/>
          </reference>
        </references>
      </pivotArea>
    </format>
    <format dxfId="1116">
      <pivotArea collapsedLevelsAreSubtotals="1" fieldPosition="0">
        <references count="2">
          <reference field="0" count="0" selected="0"/>
          <reference field="2" count="1">
            <x v="184"/>
          </reference>
        </references>
      </pivotArea>
    </format>
    <format dxfId="1115">
      <pivotArea collapsedLevelsAreSubtotals="1" fieldPosition="0">
        <references count="2">
          <reference field="0" count="0" selected="0"/>
          <reference field="2" count="1">
            <x v="185"/>
          </reference>
        </references>
      </pivotArea>
    </format>
    <format dxfId="1114">
      <pivotArea collapsedLevelsAreSubtotals="1" fieldPosition="0">
        <references count="2">
          <reference field="0" count="0" selected="0"/>
          <reference field="2" count="1">
            <x v="186"/>
          </reference>
        </references>
      </pivotArea>
    </format>
    <format dxfId="1113">
      <pivotArea collapsedLevelsAreSubtotals="1" fieldPosition="0">
        <references count="2">
          <reference field="0" count="0" selected="0"/>
          <reference field="2" count="1">
            <x v="187"/>
          </reference>
        </references>
      </pivotArea>
    </format>
    <format dxfId="1112">
      <pivotArea collapsedLevelsAreSubtotals="1" fieldPosition="0">
        <references count="2">
          <reference field="0" count="0" selected="0"/>
          <reference field="2" count="1">
            <x v="188"/>
          </reference>
        </references>
      </pivotArea>
    </format>
    <format dxfId="1111">
      <pivotArea collapsedLevelsAreSubtotals="1" fieldPosition="0">
        <references count="2">
          <reference field="0" count="0" selected="0"/>
          <reference field="2" count="1">
            <x v="189"/>
          </reference>
        </references>
      </pivotArea>
    </format>
    <format dxfId="1110">
      <pivotArea collapsedLevelsAreSubtotals="1" fieldPosition="0">
        <references count="2">
          <reference field="0" count="0" selected="0"/>
          <reference field="2" count="1">
            <x v="190"/>
          </reference>
        </references>
      </pivotArea>
    </format>
    <format dxfId="1109">
      <pivotArea collapsedLevelsAreSubtotals="1" fieldPosition="0">
        <references count="2">
          <reference field="0" count="0" selected="0"/>
          <reference field="2" count="1">
            <x v="191"/>
          </reference>
        </references>
      </pivotArea>
    </format>
    <format dxfId="1108">
      <pivotArea collapsedLevelsAreSubtotals="1" fieldPosition="0">
        <references count="2">
          <reference field="0" count="0" selected="0"/>
          <reference field="2" count="1">
            <x v="192"/>
          </reference>
        </references>
      </pivotArea>
    </format>
    <format dxfId="1107">
      <pivotArea collapsedLevelsAreSubtotals="1" fieldPosition="0">
        <references count="2">
          <reference field="0" count="0" selected="0"/>
          <reference field="2" count="1">
            <x v="193"/>
          </reference>
        </references>
      </pivotArea>
    </format>
    <format dxfId="1106">
      <pivotArea collapsedLevelsAreSubtotals="1" fieldPosition="0">
        <references count="2">
          <reference field="0" count="0" selected="0"/>
          <reference field="2" count="1">
            <x v="194"/>
          </reference>
        </references>
      </pivotArea>
    </format>
    <format dxfId="1105">
      <pivotArea collapsedLevelsAreSubtotals="1" fieldPosition="0">
        <references count="2">
          <reference field="0" count="0" selected="0"/>
          <reference field="2" count="1">
            <x v="195"/>
          </reference>
        </references>
      </pivotArea>
    </format>
    <format dxfId="1104">
      <pivotArea collapsedLevelsAreSubtotals="1" fieldPosition="0">
        <references count="2">
          <reference field="0" count="0" selected="0"/>
          <reference field="2" count="1">
            <x v="196"/>
          </reference>
        </references>
      </pivotArea>
    </format>
    <format dxfId="1103">
      <pivotArea collapsedLevelsAreSubtotals="1" fieldPosition="0">
        <references count="2">
          <reference field="0" count="0" selected="0"/>
          <reference field="2" count="1">
            <x v="197"/>
          </reference>
        </references>
      </pivotArea>
    </format>
    <format dxfId="1102">
      <pivotArea collapsedLevelsAreSubtotals="1" fieldPosition="0">
        <references count="2">
          <reference field="0" count="0" selected="0"/>
          <reference field="2" count="1">
            <x v="198"/>
          </reference>
        </references>
      </pivotArea>
    </format>
    <format dxfId="1101">
      <pivotArea collapsedLevelsAreSubtotals="1" fieldPosition="0">
        <references count="2">
          <reference field="0" count="0" selected="0"/>
          <reference field="2" count="1">
            <x v="199"/>
          </reference>
        </references>
      </pivotArea>
    </format>
    <format dxfId="1100">
      <pivotArea collapsedLevelsAreSubtotals="1" fieldPosition="0">
        <references count="2">
          <reference field="0" count="0" selected="0"/>
          <reference field="2" count="1">
            <x v="200"/>
          </reference>
        </references>
      </pivotArea>
    </format>
    <format dxfId="1099">
      <pivotArea collapsedLevelsAreSubtotals="1" fieldPosition="0">
        <references count="2">
          <reference field="0" count="0" selected="0"/>
          <reference field="2" count="1">
            <x v="201"/>
          </reference>
        </references>
      </pivotArea>
    </format>
    <format dxfId="1098">
      <pivotArea collapsedLevelsAreSubtotals="1" fieldPosition="0">
        <references count="2">
          <reference field="0" count="0" selected="0"/>
          <reference field="2" count="1">
            <x v="202"/>
          </reference>
        </references>
      </pivotArea>
    </format>
    <format dxfId="1097">
      <pivotArea collapsedLevelsAreSubtotals="1" fieldPosition="0">
        <references count="2">
          <reference field="0" count="0" selected="0"/>
          <reference field="2" count="1">
            <x v="203"/>
          </reference>
        </references>
      </pivotArea>
    </format>
    <format dxfId="1096">
      <pivotArea collapsedLevelsAreSubtotals="1" fieldPosition="0">
        <references count="2">
          <reference field="0" count="0" selected="0"/>
          <reference field="2" count="1">
            <x v="204"/>
          </reference>
        </references>
      </pivotArea>
    </format>
    <format dxfId="1095">
      <pivotArea collapsedLevelsAreSubtotals="1" fieldPosition="0">
        <references count="2">
          <reference field="0" count="0" selected="0"/>
          <reference field="2" count="1">
            <x v="205"/>
          </reference>
        </references>
      </pivotArea>
    </format>
    <format dxfId="1094">
      <pivotArea collapsedLevelsAreSubtotals="1" fieldPosition="0">
        <references count="2">
          <reference field="0" count="0" selected="0"/>
          <reference field="2" count="1">
            <x v="206"/>
          </reference>
        </references>
      </pivotArea>
    </format>
    <format dxfId="1093">
      <pivotArea collapsedLevelsAreSubtotals="1" fieldPosition="0">
        <references count="2">
          <reference field="0" count="0" selected="0"/>
          <reference field="2" count="1">
            <x v="207"/>
          </reference>
        </references>
      </pivotArea>
    </format>
    <format dxfId="1092">
      <pivotArea collapsedLevelsAreSubtotals="1" fieldPosition="0">
        <references count="2">
          <reference field="0" count="0" selected="0"/>
          <reference field="2" count="1">
            <x v="208"/>
          </reference>
        </references>
      </pivotArea>
    </format>
    <format dxfId="1091">
      <pivotArea collapsedLevelsAreSubtotals="1" fieldPosition="0">
        <references count="2">
          <reference field="0" count="0" selected="0"/>
          <reference field="2" count="1">
            <x v="209"/>
          </reference>
        </references>
      </pivotArea>
    </format>
    <format dxfId="1090">
      <pivotArea collapsedLevelsAreSubtotals="1" fieldPosition="0">
        <references count="2">
          <reference field="0" count="0" selected="0"/>
          <reference field="2" count="1">
            <x v="210"/>
          </reference>
        </references>
      </pivotArea>
    </format>
    <format dxfId="1089">
      <pivotArea collapsedLevelsAreSubtotals="1" fieldPosition="0">
        <references count="2">
          <reference field="0" count="0" selected="0"/>
          <reference field="2" count="1">
            <x v="211"/>
          </reference>
        </references>
      </pivotArea>
    </format>
    <format dxfId="1088">
      <pivotArea collapsedLevelsAreSubtotals="1" fieldPosition="0">
        <references count="2">
          <reference field="0" count="0" selected="0"/>
          <reference field="2" count="1">
            <x v="212"/>
          </reference>
        </references>
      </pivotArea>
    </format>
    <format dxfId="1087">
      <pivotArea collapsedLevelsAreSubtotals="1" fieldPosition="0">
        <references count="2">
          <reference field="0" count="0" selected="0"/>
          <reference field="2" count="1">
            <x v="62"/>
          </reference>
        </references>
      </pivotArea>
    </format>
    <format dxfId="1086">
      <pivotArea collapsedLevelsAreSubtotals="1" fieldPosition="0">
        <references count="2">
          <reference field="0" count="0" selected="0"/>
          <reference field="2" count="1">
            <x v="63"/>
          </reference>
        </references>
      </pivotArea>
    </format>
    <format dxfId="1085">
      <pivotArea collapsedLevelsAreSubtotals="1" fieldPosition="0">
        <references count="2">
          <reference field="0" count="0" selected="0"/>
          <reference field="2" count="1">
            <x v="64"/>
          </reference>
        </references>
      </pivotArea>
    </format>
    <format dxfId="1084">
      <pivotArea collapsedLevelsAreSubtotals="1" fieldPosition="0">
        <references count="2">
          <reference field="0" count="0" selected="0"/>
          <reference field="2" count="1">
            <x v="65"/>
          </reference>
        </references>
      </pivotArea>
    </format>
    <format dxfId="1083">
      <pivotArea collapsedLevelsAreSubtotals="1" fieldPosition="0">
        <references count="2">
          <reference field="0" count="0" selected="0"/>
          <reference field="2" count="1">
            <x v="66"/>
          </reference>
        </references>
      </pivotArea>
    </format>
    <format dxfId="1082">
      <pivotArea collapsedLevelsAreSubtotals="1" fieldPosition="0">
        <references count="2">
          <reference field="0" count="0" selected="0"/>
          <reference field="2" count="1">
            <x v="67"/>
          </reference>
        </references>
      </pivotArea>
    </format>
    <format dxfId="1081">
      <pivotArea collapsedLevelsAreSubtotals="1" fieldPosition="0">
        <references count="2">
          <reference field="0" count="0" selected="0"/>
          <reference field="2" count="1">
            <x v="68"/>
          </reference>
        </references>
      </pivotArea>
    </format>
    <format dxfId="1080">
      <pivotArea collapsedLevelsAreSubtotals="1" fieldPosition="0">
        <references count="2">
          <reference field="0" count="0" selected="0"/>
          <reference field="2" count="1">
            <x v="69"/>
          </reference>
        </references>
      </pivotArea>
    </format>
    <format dxfId="1079">
      <pivotArea collapsedLevelsAreSubtotals="1" fieldPosition="0">
        <references count="2">
          <reference field="0" count="0" selected="0"/>
          <reference field="2" count="1">
            <x v="70"/>
          </reference>
        </references>
      </pivotArea>
    </format>
    <format dxfId="1078">
      <pivotArea collapsedLevelsAreSubtotals="1" fieldPosition="0">
        <references count="2">
          <reference field="0" count="0" selected="0"/>
          <reference field="2" count="1">
            <x v="71"/>
          </reference>
        </references>
      </pivotArea>
    </format>
    <format dxfId="1077">
      <pivotArea collapsedLevelsAreSubtotals="1" fieldPosition="0">
        <references count="2">
          <reference field="0" count="0" selected="0"/>
          <reference field="2" count="1">
            <x v="72"/>
          </reference>
        </references>
      </pivotArea>
    </format>
    <format dxfId="1076">
      <pivotArea collapsedLevelsAreSubtotals="1" fieldPosition="0">
        <references count="2">
          <reference field="0" count="0" selected="0"/>
          <reference field="2" count="1">
            <x v="73"/>
          </reference>
        </references>
      </pivotArea>
    </format>
    <format dxfId="1075">
      <pivotArea collapsedLevelsAreSubtotals="1" fieldPosition="0">
        <references count="2">
          <reference field="0" count="0" selected="0"/>
          <reference field="2" count="1">
            <x v="74"/>
          </reference>
        </references>
      </pivotArea>
    </format>
    <format dxfId="1074">
      <pivotArea collapsedLevelsAreSubtotals="1" fieldPosition="0">
        <references count="2">
          <reference field="0" count="0" selected="0"/>
          <reference field="2" count="1">
            <x v="75"/>
          </reference>
        </references>
      </pivotArea>
    </format>
    <format dxfId="1073">
      <pivotArea collapsedLevelsAreSubtotals="1" fieldPosition="0">
        <references count="2">
          <reference field="0" count="0" selected="0"/>
          <reference field="2" count="1">
            <x v="76"/>
          </reference>
        </references>
      </pivotArea>
    </format>
    <format dxfId="1072">
      <pivotArea collapsedLevelsAreSubtotals="1" fieldPosition="0">
        <references count="2">
          <reference field="0" count="0" selected="0"/>
          <reference field="2" count="1">
            <x v="77"/>
          </reference>
        </references>
      </pivotArea>
    </format>
    <format dxfId="1071">
      <pivotArea collapsedLevelsAreSubtotals="1" fieldPosition="0">
        <references count="2">
          <reference field="0" count="0" selected="0"/>
          <reference field="2" count="1">
            <x v="78"/>
          </reference>
        </references>
      </pivotArea>
    </format>
    <format dxfId="1070">
      <pivotArea collapsedLevelsAreSubtotals="1" fieldPosition="0">
        <references count="2">
          <reference field="0" count="0" selected="0"/>
          <reference field="2" count="1">
            <x v="79"/>
          </reference>
        </references>
      </pivotArea>
    </format>
    <format dxfId="1069">
      <pivotArea collapsedLevelsAreSubtotals="1" fieldPosition="0">
        <references count="2">
          <reference field="0" count="0" selected="0"/>
          <reference field="2" count="1">
            <x v="80"/>
          </reference>
        </references>
      </pivotArea>
    </format>
    <format dxfId="1068">
      <pivotArea collapsedLevelsAreSubtotals="1" fieldPosition="0">
        <references count="2">
          <reference field="0" count="0" selected="0"/>
          <reference field="2" count="1">
            <x v="81"/>
          </reference>
        </references>
      </pivotArea>
    </format>
    <format dxfId="1067">
      <pivotArea collapsedLevelsAreSubtotals="1" fieldPosition="0">
        <references count="2">
          <reference field="0" count="0" selected="0"/>
          <reference field="2" count="1">
            <x v="82"/>
          </reference>
        </references>
      </pivotArea>
    </format>
    <format dxfId="1066">
      <pivotArea collapsedLevelsAreSubtotals="1" fieldPosition="0">
        <references count="2">
          <reference field="0" count="0" selected="0"/>
          <reference field="2" count="1">
            <x v="83"/>
          </reference>
        </references>
      </pivotArea>
    </format>
    <format dxfId="1065">
      <pivotArea collapsedLevelsAreSubtotals="1" fieldPosition="0">
        <references count="2">
          <reference field="0" count="0" selected="0"/>
          <reference field="2" count="1">
            <x v="84"/>
          </reference>
        </references>
      </pivotArea>
    </format>
    <format dxfId="1064">
      <pivotArea collapsedLevelsAreSubtotals="1" fieldPosition="0">
        <references count="2">
          <reference field="0" count="0" selected="0"/>
          <reference field="2" count="1">
            <x v="85"/>
          </reference>
        </references>
      </pivotArea>
    </format>
    <format dxfId="1063">
      <pivotArea collapsedLevelsAreSubtotals="1" fieldPosition="0">
        <references count="2">
          <reference field="0" count="0" selected="0"/>
          <reference field="2" count="1">
            <x v="86"/>
          </reference>
        </references>
      </pivotArea>
    </format>
    <format dxfId="1062">
      <pivotArea collapsedLevelsAreSubtotals="1" fieldPosition="0">
        <references count="2">
          <reference field="0" count="0" selected="0"/>
          <reference field="2" count="1">
            <x v="87"/>
          </reference>
        </references>
      </pivotArea>
    </format>
    <format dxfId="1061">
      <pivotArea collapsedLevelsAreSubtotals="1" fieldPosition="0">
        <references count="2">
          <reference field="0" count="0" selected="0"/>
          <reference field="2" count="1">
            <x v="88"/>
          </reference>
        </references>
      </pivotArea>
    </format>
    <format dxfId="1060">
      <pivotArea collapsedLevelsAreSubtotals="1" fieldPosition="0">
        <references count="2">
          <reference field="0" count="0" selected="0"/>
          <reference field="2" count="1">
            <x v="89"/>
          </reference>
        </references>
      </pivotArea>
    </format>
    <format dxfId="1059">
      <pivotArea collapsedLevelsAreSubtotals="1" fieldPosition="0">
        <references count="2">
          <reference field="0" count="0" selected="0"/>
          <reference field="2" count="1">
            <x v="90"/>
          </reference>
        </references>
      </pivotArea>
    </format>
    <format dxfId="1058">
      <pivotArea collapsedLevelsAreSubtotals="1" fieldPosition="0">
        <references count="2">
          <reference field="0" count="0" selected="0"/>
          <reference field="2" count="1">
            <x v="91"/>
          </reference>
        </references>
      </pivotArea>
    </format>
    <format dxfId="1057">
      <pivotArea collapsedLevelsAreSubtotals="1" fieldPosition="0">
        <references count="2">
          <reference field="0" count="0" selected="0"/>
          <reference field="2" count="1">
            <x v="92"/>
          </reference>
        </references>
      </pivotArea>
    </format>
    <format dxfId="1056">
      <pivotArea collapsedLevelsAreSubtotals="1" fieldPosition="0">
        <references count="2">
          <reference field="0" count="0" selected="0"/>
          <reference field="2" count="1">
            <x v="93"/>
          </reference>
        </references>
      </pivotArea>
    </format>
    <format dxfId="1055">
      <pivotArea collapsedLevelsAreSubtotals="1" fieldPosition="0">
        <references count="2">
          <reference field="0" count="0" selected="0"/>
          <reference field="2" count="1">
            <x v="94"/>
          </reference>
        </references>
      </pivotArea>
    </format>
    <format dxfId="1054">
      <pivotArea collapsedLevelsAreSubtotals="1" fieldPosition="0">
        <references count="2">
          <reference field="0" count="0" selected="0"/>
          <reference field="2" count="1">
            <x v="95"/>
          </reference>
        </references>
      </pivotArea>
    </format>
    <format dxfId="1053">
      <pivotArea collapsedLevelsAreSubtotals="1" fieldPosition="0">
        <references count="2">
          <reference field="0" count="0" selected="0"/>
          <reference field="2" count="1">
            <x v="96"/>
          </reference>
        </references>
      </pivotArea>
    </format>
    <format dxfId="1052">
      <pivotArea collapsedLevelsAreSubtotals="1" fieldPosition="0">
        <references count="2">
          <reference field="0" count="0" selected="0"/>
          <reference field="2" count="1">
            <x v="97"/>
          </reference>
        </references>
      </pivotArea>
    </format>
    <format dxfId="1051">
      <pivotArea collapsedLevelsAreSubtotals="1" fieldPosition="0">
        <references count="2">
          <reference field="0" count="0" selected="0"/>
          <reference field="2" count="1">
            <x v="98"/>
          </reference>
        </references>
      </pivotArea>
    </format>
    <format dxfId="1050">
      <pivotArea collapsedLevelsAreSubtotals="1" fieldPosition="0">
        <references count="2">
          <reference field="0" count="0" selected="0"/>
          <reference field="2" count="1">
            <x v="99"/>
          </reference>
        </references>
      </pivotArea>
    </format>
    <format dxfId="1049">
      <pivotArea collapsedLevelsAreSubtotals="1" fieldPosition="0">
        <references count="2">
          <reference field="0" count="0" selected="0"/>
          <reference field="2" count="1">
            <x v="100"/>
          </reference>
        </references>
      </pivotArea>
    </format>
    <format dxfId="1048">
      <pivotArea collapsedLevelsAreSubtotals="1" fieldPosition="0">
        <references count="2">
          <reference field="0" count="0" selected="0"/>
          <reference field="2" count="1">
            <x v="101"/>
          </reference>
        </references>
      </pivotArea>
    </format>
    <format dxfId="1047">
      <pivotArea collapsedLevelsAreSubtotals="1" fieldPosition="0">
        <references count="2">
          <reference field="0" count="0" selected="0"/>
          <reference field="2" count="1">
            <x v="102"/>
          </reference>
        </references>
      </pivotArea>
    </format>
    <format dxfId="1046">
      <pivotArea collapsedLevelsAreSubtotals="1" fieldPosition="0">
        <references count="2">
          <reference field="0" count="0" selected="0"/>
          <reference field="2" count="1">
            <x v="103"/>
          </reference>
        </references>
      </pivotArea>
    </format>
    <format dxfId="1045">
      <pivotArea collapsedLevelsAreSubtotals="1" fieldPosition="0">
        <references count="2">
          <reference field="0" count="0" selected="0"/>
          <reference field="2" count="1">
            <x v="104"/>
          </reference>
        </references>
      </pivotArea>
    </format>
    <format dxfId="1044">
      <pivotArea collapsedLevelsAreSubtotals="1" fieldPosition="0">
        <references count="2">
          <reference field="0" count="0" selected="0"/>
          <reference field="2" count="1">
            <x v="105"/>
          </reference>
        </references>
      </pivotArea>
    </format>
    <format dxfId="1043">
      <pivotArea collapsedLevelsAreSubtotals="1" fieldPosition="0">
        <references count="2">
          <reference field="0" count="0" selected="0"/>
          <reference field="2" count="1">
            <x v="106"/>
          </reference>
        </references>
      </pivotArea>
    </format>
    <format dxfId="1042">
      <pivotArea collapsedLevelsAreSubtotals="1" fieldPosition="0">
        <references count="2">
          <reference field="0" count="0" selected="0"/>
          <reference field="2" count="1">
            <x v="107"/>
          </reference>
        </references>
      </pivotArea>
    </format>
    <format dxfId="1041">
      <pivotArea collapsedLevelsAreSubtotals="1" fieldPosition="0">
        <references count="2">
          <reference field="0" count="0" selected="0"/>
          <reference field="2" count="1">
            <x v="108"/>
          </reference>
        </references>
      </pivotArea>
    </format>
    <format dxfId="1040">
      <pivotArea collapsedLevelsAreSubtotals="1" fieldPosition="0">
        <references count="2">
          <reference field="0" count="0" selected="0"/>
          <reference field="2" count="1">
            <x v="109"/>
          </reference>
        </references>
      </pivotArea>
    </format>
    <format dxfId="1039">
      <pivotArea collapsedLevelsAreSubtotals="1" fieldPosition="0">
        <references count="2">
          <reference field="0" count="0" selected="0"/>
          <reference field="2" count="1">
            <x v="110"/>
          </reference>
        </references>
      </pivotArea>
    </format>
    <format dxfId="1038">
      <pivotArea collapsedLevelsAreSubtotals="1" fieldPosition="0">
        <references count="2">
          <reference field="0" count="0" selected="0"/>
          <reference field="2" count="1">
            <x v="111"/>
          </reference>
        </references>
      </pivotArea>
    </format>
    <format dxfId="1037">
      <pivotArea collapsedLevelsAreSubtotals="1" fieldPosition="0">
        <references count="2">
          <reference field="0" count="0" selected="0"/>
          <reference field="2" count="1">
            <x v="112"/>
          </reference>
        </references>
      </pivotArea>
    </format>
    <format dxfId="1036">
      <pivotArea collapsedLevelsAreSubtotals="1" fieldPosition="0">
        <references count="2">
          <reference field="0" count="0" selected="0"/>
          <reference field="2" count="1">
            <x v="113"/>
          </reference>
        </references>
      </pivotArea>
    </format>
    <format dxfId="1035">
      <pivotArea collapsedLevelsAreSubtotals="1" fieldPosition="0">
        <references count="2">
          <reference field="0" count="0" selected="0"/>
          <reference field="2" count="1">
            <x v="114"/>
          </reference>
        </references>
      </pivotArea>
    </format>
    <format dxfId="1034">
      <pivotArea collapsedLevelsAreSubtotals="1" fieldPosition="0">
        <references count="2">
          <reference field="0" count="0" selected="0"/>
          <reference field="2" count="1">
            <x v="115"/>
          </reference>
        </references>
      </pivotArea>
    </format>
    <format dxfId="1033">
      <pivotArea collapsedLevelsAreSubtotals="1" fieldPosition="0">
        <references count="2">
          <reference field="0" count="0" selected="0"/>
          <reference field="2" count="1">
            <x v="116"/>
          </reference>
        </references>
      </pivotArea>
    </format>
    <format dxfId="1032">
      <pivotArea collapsedLevelsAreSubtotals="1" fieldPosition="0">
        <references count="2">
          <reference field="0" count="0" selected="0"/>
          <reference field="2" count="1">
            <x v="117"/>
          </reference>
        </references>
      </pivotArea>
    </format>
    <format dxfId="1031">
      <pivotArea collapsedLevelsAreSubtotals="1" fieldPosition="0">
        <references count="2">
          <reference field="0" count="0" selected="0"/>
          <reference field="2" count="1">
            <x v="118"/>
          </reference>
        </references>
      </pivotArea>
    </format>
    <format dxfId="1030">
      <pivotArea collapsedLevelsAreSubtotals="1" fieldPosition="0">
        <references count="2">
          <reference field="0" count="0" selected="0"/>
          <reference field="2" count="1">
            <x v="119"/>
          </reference>
        </references>
      </pivotArea>
    </format>
    <format dxfId="1029">
      <pivotArea collapsedLevelsAreSubtotals="1" fieldPosition="0">
        <references count="2">
          <reference field="0" count="0" selected="0"/>
          <reference field="2" count="1">
            <x v="120"/>
          </reference>
        </references>
      </pivotArea>
    </format>
    <format dxfId="1028">
      <pivotArea collapsedLevelsAreSubtotals="1" fieldPosition="0">
        <references count="2">
          <reference field="0" count="0" selected="0"/>
          <reference field="2" count="1">
            <x v="121"/>
          </reference>
        </references>
      </pivotArea>
    </format>
    <format dxfId="1027">
      <pivotArea collapsedLevelsAreSubtotals="1" fieldPosition="0">
        <references count="2">
          <reference field="0" count="0" selected="0"/>
          <reference field="2" count="1">
            <x v="244"/>
          </reference>
        </references>
      </pivotArea>
    </format>
    <format dxfId="1026">
      <pivotArea collapsedLevelsAreSubtotals="1" fieldPosition="0">
        <references count="2">
          <reference field="0" count="0" selected="0"/>
          <reference field="2" count="1">
            <x v="245"/>
          </reference>
        </references>
      </pivotArea>
    </format>
    <format dxfId="1025">
      <pivotArea collapsedLevelsAreSubtotals="1" fieldPosition="0">
        <references count="2">
          <reference field="0" count="0" selected="0"/>
          <reference field="2" count="1">
            <x v="246"/>
          </reference>
        </references>
      </pivotArea>
    </format>
    <format dxfId="1024">
      <pivotArea collapsedLevelsAreSubtotals="1" fieldPosition="0">
        <references count="2">
          <reference field="0" count="0" selected="0"/>
          <reference field="2" count="1">
            <x v="247"/>
          </reference>
        </references>
      </pivotArea>
    </format>
    <format dxfId="1023">
      <pivotArea collapsedLevelsAreSubtotals="1" fieldPosition="0">
        <references count="2">
          <reference field="0" count="0" selected="0"/>
          <reference field="2" count="1">
            <x v="248"/>
          </reference>
        </references>
      </pivotArea>
    </format>
    <format dxfId="1022">
      <pivotArea collapsedLevelsAreSubtotals="1" fieldPosition="0">
        <references count="2">
          <reference field="0" count="0" selected="0"/>
          <reference field="2" count="1">
            <x v="249"/>
          </reference>
        </references>
      </pivotArea>
    </format>
    <format dxfId="1021">
      <pivotArea collapsedLevelsAreSubtotals="1" fieldPosition="0">
        <references count="2">
          <reference field="0" count="0" selected="0"/>
          <reference field="2" count="1">
            <x v="250"/>
          </reference>
        </references>
      </pivotArea>
    </format>
    <format dxfId="1020">
      <pivotArea collapsedLevelsAreSubtotals="1" fieldPosition="0">
        <references count="2">
          <reference field="0" count="0" selected="0"/>
          <reference field="2" count="1">
            <x v="251"/>
          </reference>
        </references>
      </pivotArea>
    </format>
    <format dxfId="1019">
      <pivotArea collapsedLevelsAreSubtotals="1" fieldPosition="0">
        <references count="2">
          <reference field="0" count="0" selected="0"/>
          <reference field="2" count="1">
            <x v="252"/>
          </reference>
        </references>
      </pivotArea>
    </format>
    <format dxfId="1018">
      <pivotArea collapsedLevelsAreSubtotals="1" fieldPosition="0">
        <references count="2">
          <reference field="0" count="0" selected="0"/>
          <reference field="2" count="1">
            <x v="253"/>
          </reference>
        </references>
      </pivotArea>
    </format>
    <format dxfId="1017">
      <pivotArea collapsedLevelsAreSubtotals="1" fieldPosition="0">
        <references count="2">
          <reference field="0" count="0" selected="0"/>
          <reference field="2" count="1">
            <x v="254"/>
          </reference>
        </references>
      </pivotArea>
    </format>
    <format dxfId="1016">
      <pivotArea collapsedLevelsAreSubtotals="1" fieldPosition="0">
        <references count="2">
          <reference field="0" count="0" selected="0"/>
          <reference field="2" count="1">
            <x v="255"/>
          </reference>
        </references>
      </pivotArea>
    </format>
    <format dxfId="1015">
      <pivotArea collapsedLevelsAreSubtotals="1" fieldPosition="0">
        <references count="2">
          <reference field="0" count="0" selected="0"/>
          <reference field="2" count="1">
            <x v="256"/>
          </reference>
        </references>
      </pivotArea>
    </format>
    <format dxfId="1014">
      <pivotArea collapsedLevelsAreSubtotals="1" fieldPosition="0">
        <references count="2">
          <reference field="0" count="0" selected="0"/>
          <reference field="2" count="1">
            <x v="257"/>
          </reference>
        </references>
      </pivotArea>
    </format>
    <format dxfId="1013">
      <pivotArea collapsedLevelsAreSubtotals="1" fieldPosition="0">
        <references count="2">
          <reference field="0" count="0" selected="0"/>
          <reference field="2" count="1">
            <x v="258"/>
          </reference>
        </references>
      </pivotArea>
    </format>
    <format dxfId="1012">
      <pivotArea collapsedLevelsAreSubtotals="1" fieldPosition="0">
        <references count="2">
          <reference field="0" count="0" selected="0"/>
          <reference field="2" count="1">
            <x v="259"/>
          </reference>
        </references>
      </pivotArea>
    </format>
    <format dxfId="1011">
      <pivotArea collapsedLevelsAreSubtotals="1" fieldPosition="0">
        <references count="2">
          <reference field="0" count="0" selected="0"/>
          <reference field="2" count="1">
            <x v="260"/>
          </reference>
        </references>
      </pivotArea>
    </format>
    <format dxfId="1010">
      <pivotArea collapsedLevelsAreSubtotals="1" fieldPosition="0">
        <references count="2">
          <reference field="0" count="0" selected="0"/>
          <reference field="2" count="1">
            <x v="261"/>
          </reference>
        </references>
      </pivotArea>
    </format>
    <format dxfId="1009">
      <pivotArea collapsedLevelsAreSubtotals="1" fieldPosition="0">
        <references count="2">
          <reference field="0" count="0" selected="0"/>
          <reference field="2" count="1">
            <x v="262"/>
          </reference>
        </references>
      </pivotArea>
    </format>
    <format dxfId="1008">
      <pivotArea collapsedLevelsAreSubtotals="1" fieldPosition="0">
        <references count="2">
          <reference field="0" count="0" selected="0"/>
          <reference field="2" count="1">
            <x v="263"/>
          </reference>
        </references>
      </pivotArea>
    </format>
    <format dxfId="1007">
      <pivotArea collapsedLevelsAreSubtotals="1" fieldPosition="0">
        <references count="2">
          <reference field="0" count="0" selected="0"/>
          <reference field="2" count="1">
            <x v="264"/>
          </reference>
        </references>
      </pivotArea>
    </format>
    <format dxfId="1006">
      <pivotArea collapsedLevelsAreSubtotals="1" fieldPosition="0">
        <references count="2">
          <reference field="0" count="0" selected="0"/>
          <reference field="2" count="1">
            <x v="265"/>
          </reference>
        </references>
      </pivotArea>
    </format>
    <format dxfId="1005">
      <pivotArea collapsedLevelsAreSubtotals="1" fieldPosition="0">
        <references count="2">
          <reference field="0" count="0" selected="0"/>
          <reference field="2" count="1">
            <x v="266"/>
          </reference>
        </references>
      </pivotArea>
    </format>
    <format dxfId="1004">
      <pivotArea collapsedLevelsAreSubtotals="1" fieldPosition="0">
        <references count="2">
          <reference field="0" count="0" selected="0"/>
          <reference field="2" count="1">
            <x v="267"/>
          </reference>
        </references>
      </pivotArea>
    </format>
    <format dxfId="1003">
      <pivotArea collapsedLevelsAreSubtotals="1" fieldPosition="0">
        <references count="2">
          <reference field="0" count="0" selected="0"/>
          <reference field="2" count="1">
            <x v="268"/>
          </reference>
        </references>
      </pivotArea>
    </format>
    <format dxfId="1002">
      <pivotArea collapsedLevelsAreSubtotals="1" fieldPosition="0">
        <references count="2">
          <reference field="0" count="0" selected="0"/>
          <reference field="2" count="1">
            <x v="269"/>
          </reference>
        </references>
      </pivotArea>
    </format>
    <format dxfId="1001">
      <pivotArea collapsedLevelsAreSubtotals="1" fieldPosition="0">
        <references count="2">
          <reference field="0" count="0" selected="0"/>
          <reference field="2" count="1">
            <x v="270"/>
          </reference>
        </references>
      </pivotArea>
    </format>
    <format dxfId="1000">
      <pivotArea collapsedLevelsAreSubtotals="1" fieldPosition="0">
        <references count="2">
          <reference field="0" count="0" selected="0"/>
          <reference field="2" count="1">
            <x v="271"/>
          </reference>
        </references>
      </pivotArea>
    </format>
    <format dxfId="999">
      <pivotArea collapsedLevelsAreSubtotals="1" fieldPosition="0">
        <references count="2">
          <reference field="0" count="0" selected="0"/>
          <reference field="2" count="1">
            <x v="272"/>
          </reference>
        </references>
      </pivotArea>
    </format>
    <format dxfId="998">
      <pivotArea collapsedLevelsAreSubtotals="1" fieldPosition="0">
        <references count="2">
          <reference field="0" count="0" selected="0"/>
          <reference field="2" count="1">
            <x v="273"/>
          </reference>
        </references>
      </pivotArea>
    </format>
    <format dxfId="997">
      <pivotArea collapsedLevelsAreSubtotals="1" fieldPosition="0">
        <references count="2">
          <reference field="0" count="0" selected="0"/>
          <reference field="2" count="1">
            <x v="274"/>
          </reference>
        </references>
      </pivotArea>
    </format>
    <format dxfId="996">
      <pivotArea collapsedLevelsAreSubtotals="1" fieldPosition="0">
        <references count="2">
          <reference field="0" count="0" selected="0"/>
          <reference field="2" count="1">
            <x v="122"/>
          </reference>
        </references>
      </pivotArea>
    </format>
    <format dxfId="995">
      <pivotArea collapsedLevelsAreSubtotals="1" fieldPosition="0">
        <references count="2">
          <reference field="0" count="0" selected="0"/>
          <reference field="2" count="1">
            <x v="123"/>
          </reference>
        </references>
      </pivotArea>
    </format>
    <format dxfId="994">
      <pivotArea collapsedLevelsAreSubtotals="1" fieldPosition="0">
        <references count="2">
          <reference field="0" count="0" selected="0"/>
          <reference field="2" count="1">
            <x v="124"/>
          </reference>
        </references>
      </pivotArea>
    </format>
    <format dxfId="993">
      <pivotArea collapsedLevelsAreSubtotals="1" fieldPosition="0">
        <references count="2">
          <reference field="0" count="0" selected="0"/>
          <reference field="2" count="1">
            <x v="125"/>
          </reference>
        </references>
      </pivotArea>
    </format>
    <format dxfId="992">
      <pivotArea collapsedLevelsAreSubtotals="1" fieldPosition="0">
        <references count="2">
          <reference field="0" count="0" selected="0"/>
          <reference field="2" count="1">
            <x v="126"/>
          </reference>
        </references>
      </pivotArea>
    </format>
    <format dxfId="991">
      <pivotArea collapsedLevelsAreSubtotals="1" fieldPosition="0">
        <references count="2">
          <reference field="0" count="0" selected="0"/>
          <reference field="2" count="1">
            <x v="127"/>
          </reference>
        </references>
      </pivotArea>
    </format>
    <format dxfId="990">
      <pivotArea collapsedLevelsAreSubtotals="1" fieldPosition="0">
        <references count="2">
          <reference field="0" count="0" selected="0"/>
          <reference field="2" count="1">
            <x v="128"/>
          </reference>
        </references>
      </pivotArea>
    </format>
    <format dxfId="989">
      <pivotArea collapsedLevelsAreSubtotals="1" fieldPosition="0">
        <references count="2">
          <reference field="0" count="0" selected="0"/>
          <reference field="2" count="1">
            <x v="129"/>
          </reference>
        </references>
      </pivotArea>
    </format>
    <format dxfId="988">
      <pivotArea collapsedLevelsAreSubtotals="1" fieldPosition="0">
        <references count="2">
          <reference field="0" count="0" selected="0"/>
          <reference field="2" count="1">
            <x v="130"/>
          </reference>
        </references>
      </pivotArea>
    </format>
    <format dxfId="987">
      <pivotArea collapsedLevelsAreSubtotals="1" fieldPosition="0">
        <references count="2">
          <reference field="0" count="0" selected="0"/>
          <reference field="2" count="1">
            <x v="131"/>
          </reference>
        </references>
      </pivotArea>
    </format>
    <format dxfId="986">
      <pivotArea collapsedLevelsAreSubtotals="1" fieldPosition="0">
        <references count="2">
          <reference field="0" count="0" selected="0"/>
          <reference field="2" count="1">
            <x v="132"/>
          </reference>
        </references>
      </pivotArea>
    </format>
    <format dxfId="985">
      <pivotArea collapsedLevelsAreSubtotals="1" fieldPosition="0">
        <references count="2">
          <reference field="0" count="0" selected="0"/>
          <reference field="2" count="1">
            <x v="133"/>
          </reference>
        </references>
      </pivotArea>
    </format>
    <format dxfId="984">
      <pivotArea collapsedLevelsAreSubtotals="1" fieldPosition="0">
        <references count="2">
          <reference field="0" count="0" selected="0"/>
          <reference field="2" count="1">
            <x v="134"/>
          </reference>
        </references>
      </pivotArea>
    </format>
    <format dxfId="983">
      <pivotArea collapsedLevelsAreSubtotals="1" fieldPosition="0">
        <references count="2">
          <reference field="0" count="0" selected="0"/>
          <reference field="2" count="1">
            <x v="135"/>
          </reference>
        </references>
      </pivotArea>
    </format>
    <format dxfId="982">
      <pivotArea collapsedLevelsAreSubtotals="1" fieldPosition="0">
        <references count="2">
          <reference field="0" count="0" selected="0"/>
          <reference field="2" count="1">
            <x v="136"/>
          </reference>
        </references>
      </pivotArea>
    </format>
    <format dxfId="981">
      <pivotArea collapsedLevelsAreSubtotals="1" fieldPosition="0">
        <references count="2">
          <reference field="0" count="0" selected="0"/>
          <reference field="2" count="1">
            <x v="137"/>
          </reference>
        </references>
      </pivotArea>
    </format>
    <format dxfId="980">
      <pivotArea collapsedLevelsAreSubtotals="1" fieldPosition="0">
        <references count="2">
          <reference field="0" count="0" selected="0"/>
          <reference field="2" count="1">
            <x v="138"/>
          </reference>
        </references>
      </pivotArea>
    </format>
    <format dxfId="979">
      <pivotArea collapsedLevelsAreSubtotals="1" fieldPosition="0">
        <references count="2">
          <reference field="0" count="0" selected="0"/>
          <reference field="2" count="1">
            <x v="139"/>
          </reference>
        </references>
      </pivotArea>
    </format>
    <format dxfId="978">
      <pivotArea collapsedLevelsAreSubtotals="1" fieldPosition="0">
        <references count="2">
          <reference field="0" count="0" selected="0"/>
          <reference field="2" count="1">
            <x v="140"/>
          </reference>
        </references>
      </pivotArea>
    </format>
    <format dxfId="977">
      <pivotArea collapsedLevelsAreSubtotals="1" fieldPosition="0">
        <references count="2">
          <reference field="0" count="0" selected="0"/>
          <reference field="2" count="1">
            <x v="141"/>
          </reference>
        </references>
      </pivotArea>
    </format>
    <format dxfId="976">
      <pivotArea collapsedLevelsAreSubtotals="1" fieldPosition="0">
        <references count="2">
          <reference field="0" count="0" selected="0"/>
          <reference field="2" count="1">
            <x v="142"/>
          </reference>
        </references>
      </pivotArea>
    </format>
    <format dxfId="975">
      <pivotArea collapsedLevelsAreSubtotals="1" fieldPosition="0">
        <references count="2">
          <reference field="0" count="0" selected="0"/>
          <reference field="2" count="1">
            <x v="143"/>
          </reference>
        </references>
      </pivotArea>
    </format>
    <format dxfId="974">
      <pivotArea collapsedLevelsAreSubtotals="1" fieldPosition="0">
        <references count="2">
          <reference field="0" count="0" selected="0"/>
          <reference field="2" count="1">
            <x v="144"/>
          </reference>
        </references>
      </pivotArea>
    </format>
    <format dxfId="973">
      <pivotArea collapsedLevelsAreSubtotals="1" fieldPosition="0">
        <references count="2">
          <reference field="0" count="0" selected="0"/>
          <reference field="2" count="1">
            <x v="145"/>
          </reference>
        </references>
      </pivotArea>
    </format>
    <format dxfId="972">
      <pivotArea collapsedLevelsAreSubtotals="1" fieldPosition="0">
        <references count="2">
          <reference field="0" count="0" selected="0"/>
          <reference field="2" count="1">
            <x v="146"/>
          </reference>
        </references>
      </pivotArea>
    </format>
    <format dxfId="971">
      <pivotArea collapsedLevelsAreSubtotals="1" fieldPosition="0">
        <references count="2">
          <reference field="0" count="0" selected="0"/>
          <reference field="2" count="1">
            <x v="147"/>
          </reference>
        </references>
      </pivotArea>
    </format>
    <format dxfId="970">
      <pivotArea collapsedLevelsAreSubtotals="1" fieldPosition="0">
        <references count="2">
          <reference field="0" count="0" selected="0"/>
          <reference field="2" count="1">
            <x v="148"/>
          </reference>
        </references>
      </pivotArea>
    </format>
    <format dxfId="969">
      <pivotArea collapsedLevelsAreSubtotals="1" fieldPosition="0">
        <references count="2">
          <reference field="0" count="0" selected="0"/>
          <reference field="2" count="1">
            <x v="149"/>
          </reference>
        </references>
      </pivotArea>
    </format>
    <format dxfId="968">
      <pivotArea collapsedLevelsAreSubtotals="1" fieldPosition="0">
        <references count="2">
          <reference field="0" count="0" selected="0"/>
          <reference field="2" count="1">
            <x v="150"/>
          </reference>
        </references>
      </pivotArea>
    </format>
    <format dxfId="967">
      <pivotArea collapsedLevelsAreSubtotals="1" fieldPosition="0">
        <references count="2">
          <reference field="0" count="0" selected="0"/>
          <reference field="2" count="1">
            <x v="213"/>
          </reference>
        </references>
      </pivotArea>
    </format>
    <format dxfId="966">
      <pivotArea collapsedLevelsAreSubtotals="1" fieldPosition="0">
        <references count="2">
          <reference field="0" count="0" selected="0"/>
          <reference field="2" count="1">
            <x v="214"/>
          </reference>
        </references>
      </pivotArea>
    </format>
    <format dxfId="965">
      <pivotArea collapsedLevelsAreSubtotals="1" fieldPosition="0">
        <references count="2">
          <reference field="0" count="0" selected="0"/>
          <reference field="2" count="1">
            <x v="215"/>
          </reference>
        </references>
      </pivotArea>
    </format>
    <format dxfId="964">
      <pivotArea collapsedLevelsAreSubtotals="1" fieldPosition="0">
        <references count="2">
          <reference field="0" count="0" selected="0"/>
          <reference field="2" count="1">
            <x v="216"/>
          </reference>
        </references>
      </pivotArea>
    </format>
    <format dxfId="963">
      <pivotArea collapsedLevelsAreSubtotals="1" fieldPosition="0">
        <references count="2">
          <reference field="0" count="0" selected="0"/>
          <reference field="2" count="1">
            <x v="217"/>
          </reference>
        </references>
      </pivotArea>
    </format>
    <format dxfId="962">
      <pivotArea collapsedLevelsAreSubtotals="1" fieldPosition="0">
        <references count="2">
          <reference field="0" count="0" selected="0"/>
          <reference field="2" count="1">
            <x v="218"/>
          </reference>
        </references>
      </pivotArea>
    </format>
    <format dxfId="961">
      <pivotArea collapsedLevelsAreSubtotals="1" fieldPosition="0">
        <references count="2">
          <reference field="0" count="0" selected="0"/>
          <reference field="2" count="1">
            <x v="219"/>
          </reference>
        </references>
      </pivotArea>
    </format>
    <format dxfId="960">
      <pivotArea collapsedLevelsAreSubtotals="1" fieldPosition="0">
        <references count="2">
          <reference field="0" count="0" selected="0"/>
          <reference field="2" count="1">
            <x v="220"/>
          </reference>
        </references>
      </pivotArea>
    </format>
    <format dxfId="959">
      <pivotArea collapsedLevelsAreSubtotals="1" fieldPosition="0">
        <references count="2">
          <reference field="0" count="0" selected="0"/>
          <reference field="2" count="1">
            <x v="221"/>
          </reference>
        </references>
      </pivotArea>
    </format>
    <format dxfId="958">
      <pivotArea collapsedLevelsAreSubtotals="1" fieldPosition="0">
        <references count="2">
          <reference field="0" count="0" selected="0"/>
          <reference field="2" count="1">
            <x v="222"/>
          </reference>
        </references>
      </pivotArea>
    </format>
    <format dxfId="957">
      <pivotArea collapsedLevelsAreSubtotals="1" fieldPosition="0">
        <references count="2">
          <reference field="0" count="0" selected="0"/>
          <reference field="2" count="1">
            <x v="223"/>
          </reference>
        </references>
      </pivotArea>
    </format>
    <format dxfId="956">
      <pivotArea collapsedLevelsAreSubtotals="1" fieldPosition="0">
        <references count="2">
          <reference field="0" count="0" selected="0"/>
          <reference field="2" count="1">
            <x v="224"/>
          </reference>
        </references>
      </pivotArea>
    </format>
    <format dxfId="955">
      <pivotArea collapsedLevelsAreSubtotals="1" fieldPosition="0">
        <references count="2">
          <reference field="0" count="0" selected="0"/>
          <reference field="2" count="1">
            <x v="225"/>
          </reference>
        </references>
      </pivotArea>
    </format>
    <format dxfId="954">
      <pivotArea collapsedLevelsAreSubtotals="1" fieldPosition="0">
        <references count="2">
          <reference field="0" count="0" selected="0"/>
          <reference field="2" count="1">
            <x v="226"/>
          </reference>
        </references>
      </pivotArea>
    </format>
    <format dxfId="953">
      <pivotArea collapsedLevelsAreSubtotals="1" fieldPosition="0">
        <references count="2">
          <reference field="0" count="0" selected="0"/>
          <reference field="2" count="1">
            <x v="227"/>
          </reference>
        </references>
      </pivotArea>
    </format>
    <format dxfId="952">
      <pivotArea collapsedLevelsAreSubtotals="1" fieldPosition="0">
        <references count="2">
          <reference field="0" count="0" selected="0"/>
          <reference field="2" count="1">
            <x v="228"/>
          </reference>
        </references>
      </pivotArea>
    </format>
    <format dxfId="951">
      <pivotArea collapsedLevelsAreSubtotals="1" fieldPosition="0">
        <references count="2">
          <reference field="0" count="0" selected="0"/>
          <reference field="2" count="1">
            <x v="229"/>
          </reference>
        </references>
      </pivotArea>
    </format>
    <format dxfId="950">
      <pivotArea collapsedLevelsAreSubtotals="1" fieldPosition="0">
        <references count="2">
          <reference field="0" count="0" selected="0"/>
          <reference field="2" count="1">
            <x v="230"/>
          </reference>
        </references>
      </pivotArea>
    </format>
    <format dxfId="949">
      <pivotArea collapsedLevelsAreSubtotals="1" fieldPosition="0">
        <references count="2">
          <reference field="0" count="0" selected="0"/>
          <reference field="2" count="1">
            <x v="231"/>
          </reference>
        </references>
      </pivotArea>
    </format>
    <format dxfId="948">
      <pivotArea collapsedLevelsAreSubtotals="1" fieldPosition="0">
        <references count="2">
          <reference field="0" count="0" selected="0"/>
          <reference field="2" count="1">
            <x v="232"/>
          </reference>
        </references>
      </pivotArea>
    </format>
    <format dxfId="947">
      <pivotArea collapsedLevelsAreSubtotals="1" fieldPosition="0">
        <references count="2">
          <reference field="0" count="0" selected="0"/>
          <reference field="2" count="1">
            <x v="233"/>
          </reference>
        </references>
      </pivotArea>
    </format>
    <format dxfId="946">
      <pivotArea collapsedLevelsAreSubtotals="1" fieldPosition="0">
        <references count="2">
          <reference field="0" count="0" selected="0"/>
          <reference field="2" count="1">
            <x v="234"/>
          </reference>
        </references>
      </pivotArea>
    </format>
    <format dxfId="945">
      <pivotArea collapsedLevelsAreSubtotals="1" fieldPosition="0">
        <references count="2">
          <reference field="0" count="0" selected="0"/>
          <reference field="2" count="1">
            <x v="235"/>
          </reference>
        </references>
      </pivotArea>
    </format>
    <format dxfId="944">
      <pivotArea collapsedLevelsAreSubtotals="1" fieldPosition="0">
        <references count="2">
          <reference field="0" count="0" selected="0"/>
          <reference field="2" count="1">
            <x v="236"/>
          </reference>
        </references>
      </pivotArea>
    </format>
    <format dxfId="943">
      <pivotArea collapsedLevelsAreSubtotals="1" fieldPosition="0">
        <references count="2">
          <reference field="0" count="0" selected="0"/>
          <reference field="2" count="1">
            <x v="237"/>
          </reference>
        </references>
      </pivotArea>
    </format>
    <format dxfId="942">
      <pivotArea collapsedLevelsAreSubtotals="1" fieldPosition="0">
        <references count="2">
          <reference field="0" count="0" selected="0"/>
          <reference field="2" count="1">
            <x v="238"/>
          </reference>
        </references>
      </pivotArea>
    </format>
    <format dxfId="941">
      <pivotArea collapsedLevelsAreSubtotals="1" fieldPosition="0">
        <references count="2">
          <reference field="0" count="0" selected="0"/>
          <reference field="2" count="1">
            <x v="239"/>
          </reference>
        </references>
      </pivotArea>
    </format>
    <format dxfId="940">
      <pivotArea collapsedLevelsAreSubtotals="1" fieldPosition="0">
        <references count="2">
          <reference field="0" count="0" selected="0"/>
          <reference field="2" count="1">
            <x v="240"/>
          </reference>
        </references>
      </pivotArea>
    </format>
    <format dxfId="939">
      <pivotArea collapsedLevelsAreSubtotals="1" fieldPosition="0">
        <references count="2">
          <reference field="0" count="0" selected="0"/>
          <reference field="2" count="1">
            <x v="241"/>
          </reference>
        </references>
      </pivotArea>
    </format>
    <format dxfId="938">
      <pivotArea collapsedLevelsAreSubtotals="1" fieldPosition="0">
        <references count="2">
          <reference field="0" count="0" selected="0"/>
          <reference field="2" count="1">
            <x v="242"/>
          </reference>
        </references>
      </pivotArea>
    </format>
    <format dxfId="937">
      <pivotArea collapsedLevelsAreSubtotals="1" fieldPosition="0">
        <references count="2">
          <reference field="0" count="0" selected="0"/>
          <reference field="2" count="1">
            <x v="243"/>
          </reference>
        </references>
      </pivotArea>
    </format>
    <format dxfId="936">
      <pivotArea collapsedLevelsAreSubtotals="1" fieldPosition="0">
        <references count="2">
          <reference field="0" count="0" selected="0"/>
          <reference field="2" count="1">
            <x v="0"/>
          </reference>
        </references>
      </pivotArea>
    </format>
    <format dxfId="935">
      <pivotArea collapsedLevelsAreSubtotals="1" fieldPosition="0">
        <references count="2">
          <reference field="0" count="0" selected="0"/>
          <reference field="2" count="1">
            <x v="1"/>
          </reference>
        </references>
      </pivotArea>
    </format>
    <format dxfId="934">
      <pivotArea collapsedLevelsAreSubtotals="1" fieldPosition="0">
        <references count="2">
          <reference field="0" count="0" selected="0"/>
          <reference field="2" count="1">
            <x v="2"/>
          </reference>
        </references>
      </pivotArea>
    </format>
    <format dxfId="933">
      <pivotArea collapsedLevelsAreSubtotals="1" fieldPosition="0">
        <references count="2">
          <reference field="0" count="0" selected="0"/>
          <reference field="2" count="1">
            <x v="3"/>
          </reference>
        </references>
      </pivotArea>
    </format>
    <format dxfId="932">
      <pivotArea collapsedLevelsAreSubtotals="1" fieldPosition="0">
        <references count="2">
          <reference field="0" count="0" selected="0"/>
          <reference field="2" count="1">
            <x v="4"/>
          </reference>
        </references>
      </pivotArea>
    </format>
    <format dxfId="931">
      <pivotArea collapsedLevelsAreSubtotals="1" fieldPosition="0">
        <references count="2">
          <reference field="0" count="0" selected="0"/>
          <reference field="2" count="1">
            <x v="5"/>
          </reference>
        </references>
      </pivotArea>
    </format>
    <format dxfId="930">
      <pivotArea collapsedLevelsAreSubtotals="1" fieldPosition="0">
        <references count="2">
          <reference field="0" count="0" selected="0"/>
          <reference field="2" count="1">
            <x v="6"/>
          </reference>
        </references>
      </pivotArea>
    </format>
    <format dxfId="929">
      <pivotArea collapsedLevelsAreSubtotals="1" fieldPosition="0">
        <references count="2">
          <reference field="0" count="0" selected="0"/>
          <reference field="2" count="1">
            <x v="7"/>
          </reference>
        </references>
      </pivotArea>
    </format>
    <format dxfId="928">
      <pivotArea collapsedLevelsAreSubtotals="1" fieldPosition="0">
        <references count="2">
          <reference field="0" count="0" selected="0"/>
          <reference field="2" count="1">
            <x v="8"/>
          </reference>
        </references>
      </pivotArea>
    </format>
    <format dxfId="927">
      <pivotArea collapsedLevelsAreSubtotals="1" fieldPosition="0">
        <references count="2">
          <reference field="0" count="0" selected="0"/>
          <reference field="2" count="1">
            <x v="9"/>
          </reference>
        </references>
      </pivotArea>
    </format>
    <format dxfId="926">
      <pivotArea collapsedLevelsAreSubtotals="1" fieldPosition="0">
        <references count="2">
          <reference field="0" count="0" selected="0"/>
          <reference field="2" count="1">
            <x v="10"/>
          </reference>
        </references>
      </pivotArea>
    </format>
    <format dxfId="925">
      <pivotArea collapsedLevelsAreSubtotals="1" fieldPosition="0">
        <references count="2">
          <reference field="0" count="0" selected="0"/>
          <reference field="2" count="1">
            <x v="11"/>
          </reference>
        </references>
      </pivotArea>
    </format>
    <format dxfId="924">
      <pivotArea collapsedLevelsAreSubtotals="1" fieldPosition="0">
        <references count="2">
          <reference field="0" count="0" selected="0"/>
          <reference field="2" count="1">
            <x v="12"/>
          </reference>
        </references>
      </pivotArea>
    </format>
    <format dxfId="923">
      <pivotArea collapsedLevelsAreSubtotals="1" fieldPosition="0">
        <references count="2">
          <reference field="0" count="0" selected="0"/>
          <reference field="2" count="1">
            <x v="13"/>
          </reference>
        </references>
      </pivotArea>
    </format>
    <format dxfId="922">
      <pivotArea collapsedLevelsAreSubtotals="1" fieldPosition="0">
        <references count="2">
          <reference field="0" count="0" selected="0"/>
          <reference field="2" count="1">
            <x v="14"/>
          </reference>
        </references>
      </pivotArea>
    </format>
    <format dxfId="921">
      <pivotArea collapsedLevelsAreSubtotals="1" fieldPosition="0">
        <references count="2">
          <reference field="0" count="0" selected="0"/>
          <reference field="2" count="1">
            <x v="15"/>
          </reference>
        </references>
      </pivotArea>
    </format>
    <format dxfId="920">
      <pivotArea collapsedLevelsAreSubtotals="1" fieldPosition="0">
        <references count="2">
          <reference field="0" count="0" selected="0"/>
          <reference field="2" count="1">
            <x v="16"/>
          </reference>
        </references>
      </pivotArea>
    </format>
    <format dxfId="919">
      <pivotArea collapsedLevelsAreSubtotals="1" fieldPosition="0">
        <references count="2">
          <reference field="0" count="0" selected="0"/>
          <reference field="2" count="1">
            <x v="17"/>
          </reference>
        </references>
      </pivotArea>
    </format>
    <format dxfId="918">
      <pivotArea collapsedLevelsAreSubtotals="1" fieldPosition="0">
        <references count="2">
          <reference field="0" count="0" selected="0"/>
          <reference field="2" count="1">
            <x v="18"/>
          </reference>
        </references>
      </pivotArea>
    </format>
    <format dxfId="917">
      <pivotArea collapsedLevelsAreSubtotals="1" fieldPosition="0">
        <references count="2">
          <reference field="0" count="0" selected="0"/>
          <reference field="2" count="1">
            <x v="19"/>
          </reference>
        </references>
      </pivotArea>
    </format>
    <format dxfId="916">
      <pivotArea collapsedLevelsAreSubtotals="1" fieldPosition="0">
        <references count="2">
          <reference field="0" count="0" selected="0"/>
          <reference field="2" count="1">
            <x v="20"/>
          </reference>
        </references>
      </pivotArea>
    </format>
    <format dxfId="915">
      <pivotArea collapsedLevelsAreSubtotals="1" fieldPosition="0">
        <references count="2">
          <reference field="0" count="0" selected="0"/>
          <reference field="2" count="1">
            <x v="21"/>
          </reference>
        </references>
      </pivotArea>
    </format>
    <format dxfId="914">
      <pivotArea collapsedLevelsAreSubtotals="1" fieldPosition="0">
        <references count="2">
          <reference field="0" count="0" selected="0"/>
          <reference field="2" count="1">
            <x v="22"/>
          </reference>
        </references>
      </pivotArea>
    </format>
    <format dxfId="913">
      <pivotArea collapsedLevelsAreSubtotals="1" fieldPosition="0">
        <references count="2">
          <reference field="0" count="0" selected="0"/>
          <reference field="2" count="1">
            <x v="23"/>
          </reference>
        </references>
      </pivotArea>
    </format>
    <format dxfId="912">
      <pivotArea collapsedLevelsAreSubtotals="1" fieldPosition="0">
        <references count="2">
          <reference field="0" count="0" selected="0"/>
          <reference field="2" count="1">
            <x v="24"/>
          </reference>
        </references>
      </pivotArea>
    </format>
    <format dxfId="911">
      <pivotArea collapsedLevelsAreSubtotals="1" fieldPosition="0">
        <references count="2">
          <reference field="0" count="0" selected="0"/>
          <reference field="2" count="1">
            <x v="25"/>
          </reference>
        </references>
      </pivotArea>
    </format>
    <format dxfId="910">
      <pivotArea collapsedLevelsAreSubtotals="1" fieldPosition="0">
        <references count="2">
          <reference field="0" count="0" selected="0"/>
          <reference field="2" count="1">
            <x v="26"/>
          </reference>
        </references>
      </pivotArea>
    </format>
    <format dxfId="909">
      <pivotArea collapsedLevelsAreSubtotals="1" fieldPosition="0">
        <references count="2">
          <reference field="0" count="0" selected="0"/>
          <reference field="2" count="1">
            <x v="27"/>
          </reference>
        </references>
      </pivotArea>
    </format>
    <format dxfId="908">
      <pivotArea collapsedLevelsAreSubtotals="1" fieldPosition="0">
        <references count="2">
          <reference field="0" count="0" selected="0"/>
          <reference field="2" count="1">
            <x v="28"/>
          </reference>
        </references>
      </pivotArea>
    </format>
    <format dxfId="907">
      <pivotArea collapsedLevelsAreSubtotals="1" fieldPosition="0">
        <references count="2">
          <reference field="0" count="0" selected="0"/>
          <reference field="2" count="1">
            <x v="29"/>
          </reference>
        </references>
      </pivotArea>
    </format>
    <format dxfId="906">
      <pivotArea collapsedLevelsAreSubtotals="1" fieldPosition="0">
        <references count="2">
          <reference field="0" count="0" selected="0"/>
          <reference field="2" count="1">
            <x v="30"/>
          </reference>
        </references>
      </pivotArea>
    </format>
    <format dxfId="905">
      <pivotArea collapsedLevelsAreSubtotals="1" fieldPosition="0">
        <references count="2">
          <reference field="0" count="0" selected="0"/>
          <reference field="2" count="1">
            <x v="151"/>
          </reference>
        </references>
      </pivotArea>
    </format>
    <format dxfId="904">
      <pivotArea collapsedLevelsAreSubtotals="1" fieldPosition="0">
        <references count="2">
          <reference field="0" count="0" selected="0"/>
          <reference field="2" count="1">
            <x v="152"/>
          </reference>
        </references>
      </pivotArea>
    </format>
    <format dxfId="903">
      <pivotArea collapsedLevelsAreSubtotals="1" fieldPosition="0">
        <references count="2">
          <reference field="0" count="0" selected="0"/>
          <reference field="2" count="1">
            <x v="153"/>
          </reference>
        </references>
      </pivotArea>
    </format>
    <format dxfId="902">
      <pivotArea collapsedLevelsAreSubtotals="1" fieldPosition="0">
        <references count="2">
          <reference field="0" count="0" selected="0"/>
          <reference field="2" count="1">
            <x v="154"/>
          </reference>
        </references>
      </pivotArea>
    </format>
    <format dxfId="901">
      <pivotArea collapsedLevelsAreSubtotals="1" fieldPosition="0">
        <references count="2">
          <reference field="0" count="0" selected="0"/>
          <reference field="2" count="1">
            <x v="155"/>
          </reference>
        </references>
      </pivotArea>
    </format>
    <format dxfId="900">
      <pivotArea collapsedLevelsAreSubtotals="1" fieldPosition="0">
        <references count="2">
          <reference field="0" count="0" selected="0"/>
          <reference field="2" count="1">
            <x v="156"/>
          </reference>
        </references>
      </pivotArea>
    </format>
    <format dxfId="899">
      <pivotArea collapsedLevelsAreSubtotals="1" fieldPosition="0">
        <references count="2">
          <reference field="0" count="0" selected="0"/>
          <reference field="2" count="1">
            <x v="157"/>
          </reference>
        </references>
      </pivotArea>
    </format>
    <format dxfId="898">
      <pivotArea collapsedLevelsAreSubtotals="1" fieldPosition="0">
        <references count="2">
          <reference field="0" count="0" selected="0"/>
          <reference field="2" count="1">
            <x v="158"/>
          </reference>
        </references>
      </pivotArea>
    </format>
    <format dxfId="897">
      <pivotArea collapsedLevelsAreSubtotals="1" fieldPosition="0">
        <references count="2">
          <reference field="0" count="0" selected="0"/>
          <reference field="2" count="1">
            <x v="159"/>
          </reference>
        </references>
      </pivotArea>
    </format>
    <format dxfId="896">
      <pivotArea collapsedLevelsAreSubtotals="1" fieldPosition="0">
        <references count="2">
          <reference field="0" count="0" selected="0"/>
          <reference field="2" count="1">
            <x v="160"/>
          </reference>
        </references>
      </pivotArea>
    </format>
    <format dxfId="895">
      <pivotArea collapsedLevelsAreSubtotals="1" fieldPosition="0">
        <references count="2">
          <reference field="0" count="0" selected="0"/>
          <reference field="2" count="1">
            <x v="161"/>
          </reference>
        </references>
      </pivotArea>
    </format>
    <format dxfId="894">
      <pivotArea collapsedLevelsAreSubtotals="1" fieldPosition="0">
        <references count="2">
          <reference field="0" count="0" selected="0"/>
          <reference field="2" count="1">
            <x v="162"/>
          </reference>
        </references>
      </pivotArea>
    </format>
    <format dxfId="893">
      <pivotArea collapsedLevelsAreSubtotals="1" fieldPosition="0">
        <references count="2">
          <reference field="0" count="0" selected="0"/>
          <reference field="2" count="1">
            <x v="163"/>
          </reference>
        </references>
      </pivotArea>
    </format>
    <format dxfId="892">
      <pivotArea collapsedLevelsAreSubtotals="1" fieldPosition="0">
        <references count="2">
          <reference field="0" count="0" selected="0"/>
          <reference field="2" count="1">
            <x v="164"/>
          </reference>
        </references>
      </pivotArea>
    </format>
    <format dxfId="891">
      <pivotArea collapsedLevelsAreSubtotals="1" fieldPosition="0">
        <references count="2">
          <reference field="0" count="0" selected="0"/>
          <reference field="2" count="1">
            <x v="165"/>
          </reference>
        </references>
      </pivotArea>
    </format>
    <format dxfId="890">
      <pivotArea collapsedLevelsAreSubtotals="1" fieldPosition="0">
        <references count="2">
          <reference field="0" count="0" selected="0"/>
          <reference field="2" count="1">
            <x v="166"/>
          </reference>
        </references>
      </pivotArea>
    </format>
    <format dxfId="889">
      <pivotArea collapsedLevelsAreSubtotals="1" fieldPosition="0">
        <references count="2">
          <reference field="0" count="0" selected="0"/>
          <reference field="2" count="1">
            <x v="167"/>
          </reference>
        </references>
      </pivotArea>
    </format>
    <format dxfId="888">
      <pivotArea collapsedLevelsAreSubtotals="1" fieldPosition="0">
        <references count="2">
          <reference field="0" count="0" selected="0"/>
          <reference field="2" count="1">
            <x v="168"/>
          </reference>
        </references>
      </pivotArea>
    </format>
    <format dxfId="887">
      <pivotArea collapsedLevelsAreSubtotals="1" fieldPosition="0">
        <references count="2">
          <reference field="0" count="0" selected="0"/>
          <reference field="2" count="1">
            <x v="169"/>
          </reference>
        </references>
      </pivotArea>
    </format>
    <format dxfId="886">
      <pivotArea collapsedLevelsAreSubtotals="1" fieldPosition="0">
        <references count="2">
          <reference field="0" count="0" selected="0"/>
          <reference field="2" count="1">
            <x v="170"/>
          </reference>
        </references>
      </pivotArea>
    </format>
    <format dxfId="885">
      <pivotArea collapsedLevelsAreSubtotals="1" fieldPosition="0">
        <references count="2">
          <reference field="0" count="0" selected="0"/>
          <reference field="2" count="1">
            <x v="171"/>
          </reference>
        </references>
      </pivotArea>
    </format>
    <format dxfId="884">
      <pivotArea collapsedLevelsAreSubtotals="1" fieldPosition="0">
        <references count="2">
          <reference field="0" count="0" selected="0"/>
          <reference field="2" count="1">
            <x v="172"/>
          </reference>
        </references>
      </pivotArea>
    </format>
    <format dxfId="883">
      <pivotArea collapsedLevelsAreSubtotals="1" fieldPosition="0">
        <references count="2">
          <reference field="0" count="0" selected="0"/>
          <reference field="2" count="1">
            <x v="173"/>
          </reference>
        </references>
      </pivotArea>
    </format>
    <format dxfId="882">
      <pivotArea collapsedLevelsAreSubtotals="1" fieldPosition="0">
        <references count="2">
          <reference field="0" count="0" selected="0"/>
          <reference field="2" count="1">
            <x v="174"/>
          </reference>
        </references>
      </pivotArea>
    </format>
    <format dxfId="881">
      <pivotArea collapsedLevelsAreSubtotals="1" fieldPosition="0">
        <references count="2">
          <reference field="0" count="0" selected="0"/>
          <reference field="2" count="1">
            <x v="175"/>
          </reference>
        </references>
      </pivotArea>
    </format>
    <format dxfId="880">
      <pivotArea collapsedLevelsAreSubtotals="1" fieldPosition="0">
        <references count="2">
          <reference field="0" count="0" selected="0"/>
          <reference field="2" count="1">
            <x v="176"/>
          </reference>
        </references>
      </pivotArea>
    </format>
    <format dxfId="879">
      <pivotArea collapsedLevelsAreSubtotals="1" fieldPosition="0">
        <references count="2">
          <reference field="0" count="0" selected="0"/>
          <reference field="2" count="1">
            <x v="177"/>
          </reference>
        </references>
      </pivotArea>
    </format>
    <format dxfId="878">
      <pivotArea collapsedLevelsAreSubtotals="1" fieldPosition="0">
        <references count="2">
          <reference field="0" count="0" selected="0"/>
          <reference field="2" count="1">
            <x v="178"/>
          </reference>
        </references>
      </pivotArea>
    </format>
    <format dxfId="877">
      <pivotArea collapsedLevelsAreSubtotals="1" fieldPosition="0">
        <references count="2">
          <reference field="0" count="0" selected="0"/>
          <reference field="2" count="1">
            <x v="179"/>
          </reference>
        </references>
      </pivotArea>
    </format>
    <format dxfId="876">
      <pivotArea collapsedLevelsAreSubtotals="1" fieldPosition="0">
        <references count="2">
          <reference field="0" count="0" selected="0"/>
          <reference field="2" count="1">
            <x v="180"/>
          </reference>
        </references>
      </pivotArea>
    </format>
    <format dxfId="875">
      <pivotArea collapsedLevelsAreSubtotals="1" fieldPosition="0">
        <references count="2">
          <reference field="0" count="0" selected="0"/>
          <reference field="2" count="1">
            <x v="181"/>
          </reference>
        </references>
      </pivotArea>
    </format>
    <format dxfId="874">
      <pivotArea collapsedLevelsAreSubtotals="1" fieldPosition="0">
        <references count="2">
          <reference field="0" count="0" selected="0"/>
          <reference field="2" count="1">
            <x v="306"/>
          </reference>
        </references>
      </pivotArea>
    </format>
    <format dxfId="873">
      <pivotArea collapsedLevelsAreSubtotals="1" fieldPosition="0">
        <references count="2">
          <reference field="0" count="0" selected="0"/>
          <reference field="2" count="1">
            <x v="307"/>
          </reference>
        </references>
      </pivotArea>
    </format>
    <format dxfId="872">
      <pivotArea collapsedLevelsAreSubtotals="1" fieldPosition="0">
        <references count="2">
          <reference field="0" count="0" selected="0"/>
          <reference field="2" count="1">
            <x v="308"/>
          </reference>
        </references>
      </pivotArea>
    </format>
    <format dxfId="871">
      <pivotArea collapsedLevelsAreSubtotals="1" fieldPosition="0">
        <references count="2">
          <reference field="0" count="0" selected="0"/>
          <reference field="2" count="1">
            <x v="309"/>
          </reference>
        </references>
      </pivotArea>
    </format>
    <format dxfId="870">
      <pivotArea collapsedLevelsAreSubtotals="1" fieldPosition="0">
        <references count="2">
          <reference field="0" count="0" selected="0"/>
          <reference field="2" count="1">
            <x v="310"/>
          </reference>
        </references>
      </pivotArea>
    </format>
    <format dxfId="869">
      <pivotArea collapsedLevelsAreSubtotals="1" fieldPosition="0">
        <references count="2">
          <reference field="0" count="0" selected="0"/>
          <reference field="2" count="1">
            <x v="311"/>
          </reference>
        </references>
      </pivotArea>
    </format>
    <format dxfId="868">
      <pivotArea collapsedLevelsAreSubtotals="1" fieldPosition="0">
        <references count="2">
          <reference field="0" count="0" selected="0"/>
          <reference field="2" count="1">
            <x v="312"/>
          </reference>
        </references>
      </pivotArea>
    </format>
    <format dxfId="867">
      <pivotArea collapsedLevelsAreSubtotals="1" fieldPosition="0">
        <references count="2">
          <reference field="0" count="0" selected="0"/>
          <reference field="2" count="1">
            <x v="313"/>
          </reference>
        </references>
      </pivotArea>
    </format>
    <format dxfId="866">
      <pivotArea collapsedLevelsAreSubtotals="1" fieldPosition="0">
        <references count="2">
          <reference field="0" count="0" selected="0"/>
          <reference field="2" count="1">
            <x v="314"/>
          </reference>
        </references>
      </pivotArea>
    </format>
    <format dxfId="865">
      <pivotArea collapsedLevelsAreSubtotals="1" fieldPosition="0">
        <references count="2">
          <reference field="0" count="0" selected="0"/>
          <reference field="2" count="1">
            <x v="315"/>
          </reference>
        </references>
      </pivotArea>
    </format>
    <format dxfId="864">
      <pivotArea collapsedLevelsAreSubtotals="1" fieldPosition="0">
        <references count="2">
          <reference field="0" count="0" selected="0"/>
          <reference field="2" count="1">
            <x v="316"/>
          </reference>
        </references>
      </pivotArea>
    </format>
    <format dxfId="863">
      <pivotArea collapsedLevelsAreSubtotals="1" fieldPosition="0">
        <references count="2">
          <reference field="0" count="0" selected="0"/>
          <reference field="2" count="1">
            <x v="317"/>
          </reference>
        </references>
      </pivotArea>
    </format>
    <format dxfId="862">
      <pivotArea collapsedLevelsAreSubtotals="1" fieldPosition="0">
        <references count="2">
          <reference field="0" count="0" selected="0"/>
          <reference field="2" count="1">
            <x v="318"/>
          </reference>
        </references>
      </pivotArea>
    </format>
    <format dxfId="861">
      <pivotArea collapsedLevelsAreSubtotals="1" fieldPosition="0">
        <references count="2">
          <reference field="0" count="0" selected="0"/>
          <reference field="2" count="1">
            <x v="319"/>
          </reference>
        </references>
      </pivotArea>
    </format>
    <format dxfId="860">
      <pivotArea collapsedLevelsAreSubtotals="1" fieldPosition="0">
        <references count="2">
          <reference field="0" count="0" selected="0"/>
          <reference field="2" count="1">
            <x v="320"/>
          </reference>
        </references>
      </pivotArea>
    </format>
    <format dxfId="859">
      <pivotArea collapsedLevelsAreSubtotals="1" fieldPosition="0">
        <references count="2">
          <reference field="0" count="0" selected="0"/>
          <reference field="2" count="1">
            <x v="321"/>
          </reference>
        </references>
      </pivotArea>
    </format>
    <format dxfId="858">
      <pivotArea collapsedLevelsAreSubtotals="1" fieldPosition="0">
        <references count="2">
          <reference field="0" count="0" selected="0"/>
          <reference field="2" count="1">
            <x v="322"/>
          </reference>
        </references>
      </pivotArea>
    </format>
    <format dxfId="857">
      <pivotArea collapsedLevelsAreSubtotals="1" fieldPosition="0">
        <references count="2">
          <reference field="0" count="0" selected="0"/>
          <reference field="2" count="1">
            <x v="323"/>
          </reference>
        </references>
      </pivotArea>
    </format>
    <format dxfId="856">
      <pivotArea collapsedLevelsAreSubtotals="1" fieldPosition="0">
        <references count="2">
          <reference field="0" count="0" selected="0"/>
          <reference field="2" count="1">
            <x v="324"/>
          </reference>
        </references>
      </pivotArea>
    </format>
    <format dxfId="855">
      <pivotArea collapsedLevelsAreSubtotals="1" fieldPosition="0">
        <references count="2">
          <reference field="0" count="0" selected="0"/>
          <reference field="2" count="1">
            <x v="325"/>
          </reference>
        </references>
      </pivotArea>
    </format>
    <format dxfId="854">
      <pivotArea collapsedLevelsAreSubtotals="1" fieldPosition="0">
        <references count="2">
          <reference field="0" count="0" selected="0"/>
          <reference field="2" count="1">
            <x v="326"/>
          </reference>
        </references>
      </pivotArea>
    </format>
    <format dxfId="853">
      <pivotArea collapsedLevelsAreSubtotals="1" fieldPosition="0">
        <references count="2">
          <reference field="0" count="0" selected="0"/>
          <reference field="2" count="1">
            <x v="327"/>
          </reference>
        </references>
      </pivotArea>
    </format>
    <format dxfId="852">
      <pivotArea collapsedLevelsAreSubtotals="1" fieldPosition="0">
        <references count="2">
          <reference field="0" count="0" selected="0"/>
          <reference field="2" count="1">
            <x v="328"/>
          </reference>
        </references>
      </pivotArea>
    </format>
    <format dxfId="851">
      <pivotArea collapsedLevelsAreSubtotals="1" fieldPosition="0">
        <references count="2">
          <reference field="0" count="0" selected="0"/>
          <reference field="2" count="1">
            <x v="329"/>
          </reference>
        </references>
      </pivotArea>
    </format>
    <format dxfId="850">
      <pivotArea collapsedLevelsAreSubtotals="1" fieldPosition="0">
        <references count="2">
          <reference field="0" count="0" selected="0"/>
          <reference field="2" count="1">
            <x v="330"/>
          </reference>
        </references>
      </pivotArea>
    </format>
    <format dxfId="849">
      <pivotArea collapsedLevelsAreSubtotals="1" fieldPosition="0">
        <references count="2">
          <reference field="0" count="0" selected="0"/>
          <reference field="2" count="1">
            <x v="331"/>
          </reference>
        </references>
      </pivotArea>
    </format>
    <format dxfId="848">
      <pivotArea collapsedLevelsAreSubtotals="1" fieldPosition="0">
        <references count="2">
          <reference field="0" count="0" selected="0"/>
          <reference field="2" count="1">
            <x v="332"/>
          </reference>
        </references>
      </pivotArea>
    </format>
    <format dxfId="847">
      <pivotArea collapsedLevelsAreSubtotals="1" fieldPosition="0">
        <references count="2">
          <reference field="0" count="0" selected="0"/>
          <reference field="2" count="1">
            <x v="333"/>
          </reference>
        </references>
      </pivotArea>
    </format>
    <format dxfId="846">
      <pivotArea collapsedLevelsAreSubtotals="1" fieldPosition="0">
        <references count="2">
          <reference field="0" count="0" selected="0"/>
          <reference field="2" count="1">
            <x v="334"/>
          </reference>
        </references>
      </pivotArea>
    </format>
    <format dxfId="845">
      <pivotArea collapsedLevelsAreSubtotals="1" fieldPosition="0">
        <references count="2">
          <reference field="0" count="0" selected="0"/>
          <reference field="2" count="1">
            <x v="335"/>
          </reference>
        </references>
      </pivotArea>
    </format>
    <format dxfId="844">
      <pivotArea collapsedLevelsAreSubtotals="1" fieldPosition="0">
        <references count="2">
          <reference field="0" count="0" selected="0"/>
          <reference field="2" count="1">
            <x v="31"/>
          </reference>
        </references>
      </pivotArea>
    </format>
    <format dxfId="843">
      <pivotArea collapsedLevelsAreSubtotals="1" fieldPosition="0">
        <references count="2">
          <reference field="0" count="0" selected="0"/>
          <reference field="2" count="1">
            <x v="32"/>
          </reference>
        </references>
      </pivotArea>
    </format>
    <format dxfId="842">
      <pivotArea collapsedLevelsAreSubtotals="1" fieldPosition="0">
        <references count="2">
          <reference field="0" count="0" selected="0"/>
          <reference field="2" count="1">
            <x v="33"/>
          </reference>
        </references>
      </pivotArea>
    </format>
    <format dxfId="841">
      <pivotArea collapsedLevelsAreSubtotals="1" fieldPosition="0">
        <references count="2">
          <reference field="0" count="0" selected="0"/>
          <reference field="2" count="1">
            <x v="34"/>
          </reference>
        </references>
      </pivotArea>
    </format>
    <format dxfId="840">
      <pivotArea collapsedLevelsAreSubtotals="1" fieldPosition="0">
        <references count="2">
          <reference field="0" count="0" selected="0"/>
          <reference field="2" count="1">
            <x v="35"/>
          </reference>
        </references>
      </pivotArea>
    </format>
    <format dxfId="839">
      <pivotArea collapsedLevelsAreSubtotals="1" fieldPosition="0">
        <references count="2">
          <reference field="0" count="0" selected="0"/>
          <reference field="2" count="1">
            <x v="36"/>
          </reference>
        </references>
      </pivotArea>
    </format>
    <format dxfId="838">
      <pivotArea collapsedLevelsAreSubtotals="1" fieldPosition="0">
        <references count="2">
          <reference field="0" count="0" selected="0"/>
          <reference field="2" count="1">
            <x v="37"/>
          </reference>
        </references>
      </pivotArea>
    </format>
    <format dxfId="837">
      <pivotArea collapsedLevelsAreSubtotals="1" fieldPosition="0">
        <references count="2">
          <reference field="0" count="0" selected="0"/>
          <reference field="2" count="1">
            <x v="38"/>
          </reference>
        </references>
      </pivotArea>
    </format>
    <format dxfId="836">
      <pivotArea collapsedLevelsAreSubtotals="1" fieldPosition="0">
        <references count="2">
          <reference field="0" count="0" selected="0"/>
          <reference field="2" count="1">
            <x v="39"/>
          </reference>
        </references>
      </pivotArea>
    </format>
    <format dxfId="835">
      <pivotArea collapsedLevelsAreSubtotals="1" fieldPosition="0">
        <references count="2">
          <reference field="0" count="0" selected="0"/>
          <reference field="2" count="1">
            <x v="40"/>
          </reference>
        </references>
      </pivotArea>
    </format>
    <format dxfId="834">
      <pivotArea collapsedLevelsAreSubtotals="1" fieldPosition="0">
        <references count="2">
          <reference field="0" count="0" selected="0"/>
          <reference field="2" count="1">
            <x v="41"/>
          </reference>
        </references>
      </pivotArea>
    </format>
    <format dxfId="833">
      <pivotArea collapsedLevelsAreSubtotals="1" fieldPosition="0">
        <references count="2">
          <reference field="0" count="0" selected="0"/>
          <reference field="2" count="1">
            <x v="42"/>
          </reference>
        </references>
      </pivotArea>
    </format>
    <format dxfId="832">
      <pivotArea collapsedLevelsAreSubtotals="1" fieldPosition="0">
        <references count="2">
          <reference field="0" count="0" selected="0"/>
          <reference field="2" count="1">
            <x v="43"/>
          </reference>
        </references>
      </pivotArea>
    </format>
    <format dxfId="831">
      <pivotArea collapsedLevelsAreSubtotals="1" fieldPosition="0">
        <references count="2">
          <reference field="0" count="0" selected="0"/>
          <reference field="2" count="1">
            <x v="44"/>
          </reference>
        </references>
      </pivotArea>
    </format>
    <format dxfId="830">
      <pivotArea collapsedLevelsAreSubtotals="1" fieldPosition="0">
        <references count="2">
          <reference field="0" count="0" selected="0"/>
          <reference field="2" count="1">
            <x v="45"/>
          </reference>
        </references>
      </pivotArea>
    </format>
    <format dxfId="829">
      <pivotArea collapsedLevelsAreSubtotals="1" fieldPosition="0">
        <references count="2">
          <reference field="0" count="0" selected="0"/>
          <reference field="2" count="1">
            <x v="46"/>
          </reference>
        </references>
      </pivotArea>
    </format>
    <format dxfId="828">
      <pivotArea collapsedLevelsAreSubtotals="1" fieldPosition="0">
        <references count="2">
          <reference field="0" count="0" selected="0"/>
          <reference field="2" count="1">
            <x v="47"/>
          </reference>
        </references>
      </pivotArea>
    </format>
    <format dxfId="827">
      <pivotArea collapsedLevelsAreSubtotals="1" fieldPosition="0">
        <references count="2">
          <reference field="0" count="0" selected="0"/>
          <reference field="2" count="1">
            <x v="48"/>
          </reference>
        </references>
      </pivotArea>
    </format>
    <format dxfId="826">
      <pivotArea collapsedLevelsAreSubtotals="1" fieldPosition="0">
        <references count="2">
          <reference field="0" count="0" selected="0"/>
          <reference field="2" count="1">
            <x v="49"/>
          </reference>
        </references>
      </pivotArea>
    </format>
    <format dxfId="825">
      <pivotArea collapsedLevelsAreSubtotals="1" fieldPosition="0">
        <references count="2">
          <reference field="0" count="0" selected="0"/>
          <reference field="2" count="1">
            <x v="50"/>
          </reference>
        </references>
      </pivotArea>
    </format>
    <format dxfId="824">
      <pivotArea collapsedLevelsAreSubtotals="1" fieldPosition="0">
        <references count="2">
          <reference field="0" count="0" selected="0"/>
          <reference field="2" count="1">
            <x v="51"/>
          </reference>
        </references>
      </pivotArea>
    </format>
    <format dxfId="823">
      <pivotArea collapsedLevelsAreSubtotals="1" fieldPosition="0">
        <references count="2">
          <reference field="0" count="0" selected="0"/>
          <reference field="2" count="1">
            <x v="52"/>
          </reference>
        </references>
      </pivotArea>
    </format>
    <format dxfId="822">
      <pivotArea collapsedLevelsAreSubtotals="1" fieldPosition="0">
        <references count="2">
          <reference field="0" count="0" selected="0"/>
          <reference field="2" count="1">
            <x v="53"/>
          </reference>
        </references>
      </pivotArea>
    </format>
    <format dxfId="821">
      <pivotArea collapsedLevelsAreSubtotals="1" fieldPosition="0">
        <references count="2">
          <reference field="0" count="0" selected="0"/>
          <reference field="2" count="1">
            <x v="54"/>
          </reference>
        </references>
      </pivotArea>
    </format>
    <format dxfId="820">
      <pivotArea collapsedLevelsAreSubtotals="1" fieldPosition="0">
        <references count="2">
          <reference field="0" count="0" selected="0"/>
          <reference field="2" count="1">
            <x v="55"/>
          </reference>
        </references>
      </pivotArea>
    </format>
    <format dxfId="819">
      <pivotArea collapsedLevelsAreSubtotals="1" fieldPosition="0">
        <references count="2">
          <reference field="0" count="0" selected="0"/>
          <reference field="2" count="1">
            <x v="56"/>
          </reference>
        </references>
      </pivotArea>
    </format>
    <format dxfId="818">
      <pivotArea collapsedLevelsAreSubtotals="1" fieldPosition="0">
        <references count="2">
          <reference field="0" count="0" selected="0"/>
          <reference field="2" count="1">
            <x v="57"/>
          </reference>
        </references>
      </pivotArea>
    </format>
    <format dxfId="817">
      <pivotArea collapsedLevelsAreSubtotals="1" fieldPosition="0">
        <references count="2">
          <reference field="0" count="0" selected="0"/>
          <reference field="2" count="1">
            <x v="58"/>
          </reference>
        </references>
      </pivotArea>
    </format>
    <format dxfId="816">
      <pivotArea collapsedLevelsAreSubtotals="1" fieldPosition="0">
        <references count="2">
          <reference field="0" count="0" selected="0"/>
          <reference field="2" count="1">
            <x v="59"/>
          </reference>
        </references>
      </pivotArea>
    </format>
    <format dxfId="815">
      <pivotArea collapsedLevelsAreSubtotals="1" fieldPosition="0">
        <references count="2">
          <reference field="0" count="0" selected="0"/>
          <reference field="2" count="1">
            <x v="60"/>
          </reference>
        </references>
      </pivotArea>
    </format>
    <format dxfId="814">
      <pivotArea collapsedLevelsAreSubtotals="1" fieldPosition="0">
        <references count="2">
          <reference field="0" count="0" selected="0"/>
          <reference field="2" count="1">
            <x v="61"/>
          </reference>
        </references>
      </pivotArea>
    </format>
    <format dxfId="813">
      <pivotArea collapsedLevelsAreSubtotals="1" fieldPosition="0">
        <references count="2">
          <reference field="0" count="0" selected="0"/>
          <reference field="2" count="1">
            <x v="336"/>
          </reference>
        </references>
      </pivotArea>
    </format>
    <format dxfId="812">
      <pivotArea collapsedLevelsAreSubtotals="1" fieldPosition="0">
        <references count="2">
          <reference field="0" count="0" selected="0"/>
          <reference field="2" count="1">
            <x v="337"/>
          </reference>
        </references>
      </pivotArea>
    </format>
    <format dxfId="811">
      <pivotArea collapsedLevelsAreSubtotals="1" fieldPosition="0">
        <references count="2">
          <reference field="0" count="0" selected="0"/>
          <reference field="2" count="1">
            <x v="338"/>
          </reference>
        </references>
      </pivotArea>
    </format>
    <format dxfId="810">
      <pivotArea collapsedLevelsAreSubtotals="1" fieldPosition="0">
        <references count="2">
          <reference field="0" count="0" selected="0"/>
          <reference field="2" count="1">
            <x v="339"/>
          </reference>
        </references>
      </pivotArea>
    </format>
    <format dxfId="809">
      <pivotArea collapsedLevelsAreSubtotals="1" fieldPosition="0">
        <references count="2">
          <reference field="0" count="0" selected="0"/>
          <reference field="2" count="1">
            <x v="340"/>
          </reference>
        </references>
      </pivotArea>
    </format>
    <format dxfId="808">
      <pivotArea collapsedLevelsAreSubtotals="1" fieldPosition="0">
        <references count="2">
          <reference field="0" count="0" selected="0"/>
          <reference field="2" count="1">
            <x v="341"/>
          </reference>
        </references>
      </pivotArea>
    </format>
    <format dxfId="807">
      <pivotArea collapsedLevelsAreSubtotals="1" fieldPosition="0">
        <references count="2">
          <reference field="0" count="0" selected="0"/>
          <reference field="2" count="1">
            <x v="342"/>
          </reference>
        </references>
      </pivotArea>
    </format>
    <format dxfId="806">
      <pivotArea collapsedLevelsAreSubtotals="1" fieldPosition="0">
        <references count="2">
          <reference field="0" count="0" selected="0"/>
          <reference field="2" count="1">
            <x v="343"/>
          </reference>
        </references>
      </pivotArea>
    </format>
    <format dxfId="805">
      <pivotArea collapsedLevelsAreSubtotals="1" fieldPosition="0">
        <references count="2">
          <reference field="0" count="0" selected="0"/>
          <reference field="2" count="1">
            <x v="344"/>
          </reference>
        </references>
      </pivotArea>
    </format>
    <format dxfId="804">
      <pivotArea collapsedLevelsAreSubtotals="1" fieldPosition="0">
        <references count="2">
          <reference field="0" count="0" selected="0"/>
          <reference field="2" count="1">
            <x v="345"/>
          </reference>
        </references>
      </pivotArea>
    </format>
    <format dxfId="803">
      <pivotArea collapsedLevelsAreSubtotals="1" fieldPosition="0">
        <references count="2">
          <reference field="0" count="0" selected="0"/>
          <reference field="2" count="1">
            <x v="346"/>
          </reference>
        </references>
      </pivotArea>
    </format>
    <format dxfId="802">
      <pivotArea collapsedLevelsAreSubtotals="1" fieldPosition="0">
        <references count="2">
          <reference field="0" count="0" selected="0"/>
          <reference field="2" count="1">
            <x v="347"/>
          </reference>
        </references>
      </pivotArea>
    </format>
    <format dxfId="801">
      <pivotArea collapsedLevelsAreSubtotals="1" fieldPosition="0">
        <references count="2">
          <reference field="0" count="0" selected="0"/>
          <reference field="2" count="1">
            <x v="348"/>
          </reference>
        </references>
      </pivotArea>
    </format>
    <format dxfId="800">
      <pivotArea collapsedLevelsAreSubtotals="1" fieldPosition="0">
        <references count="2">
          <reference field="0" count="0" selected="0"/>
          <reference field="2" count="1">
            <x v="349"/>
          </reference>
        </references>
      </pivotArea>
    </format>
    <format dxfId="799">
      <pivotArea collapsedLevelsAreSubtotals="1" fieldPosition="0">
        <references count="2">
          <reference field="0" count="0" selected="0"/>
          <reference field="2" count="1">
            <x v="350"/>
          </reference>
        </references>
      </pivotArea>
    </format>
    <format dxfId="798">
      <pivotArea collapsedLevelsAreSubtotals="1" fieldPosition="0">
        <references count="2">
          <reference field="0" count="0" selected="0"/>
          <reference field="2" count="1">
            <x v="351"/>
          </reference>
        </references>
      </pivotArea>
    </format>
    <format dxfId="797">
      <pivotArea collapsedLevelsAreSubtotals="1" fieldPosition="0">
        <references count="2">
          <reference field="0" count="0" selected="0"/>
          <reference field="2" count="1">
            <x v="352"/>
          </reference>
        </references>
      </pivotArea>
    </format>
    <format dxfId="796">
      <pivotArea collapsedLevelsAreSubtotals="1" fieldPosition="0">
        <references count="2">
          <reference field="0" count="0" selected="0"/>
          <reference field="2" count="1">
            <x v="353"/>
          </reference>
        </references>
      </pivotArea>
    </format>
    <format dxfId="795">
      <pivotArea collapsedLevelsAreSubtotals="1" fieldPosition="0">
        <references count="2">
          <reference field="0" count="0" selected="0"/>
          <reference field="2" count="1">
            <x v="354"/>
          </reference>
        </references>
      </pivotArea>
    </format>
    <format dxfId="794">
      <pivotArea collapsedLevelsAreSubtotals="1" fieldPosition="0">
        <references count="2">
          <reference field="0" count="0" selected="0"/>
          <reference field="2" count="1">
            <x v="355"/>
          </reference>
        </references>
      </pivotArea>
    </format>
    <format dxfId="793">
      <pivotArea collapsedLevelsAreSubtotals="1" fieldPosition="0">
        <references count="2">
          <reference field="0" count="0" selected="0"/>
          <reference field="2" count="1">
            <x v="356"/>
          </reference>
        </references>
      </pivotArea>
    </format>
    <format dxfId="792">
      <pivotArea collapsedLevelsAreSubtotals="1" fieldPosition="0">
        <references count="2">
          <reference field="0" count="0" selected="0"/>
          <reference field="2" count="1">
            <x v="357"/>
          </reference>
        </references>
      </pivotArea>
    </format>
    <format dxfId="791">
      <pivotArea collapsedLevelsAreSubtotals="1" fieldPosition="0">
        <references count="2">
          <reference field="0" count="0" selected="0"/>
          <reference field="2" count="1">
            <x v="358"/>
          </reference>
        </references>
      </pivotArea>
    </format>
    <format dxfId="790">
      <pivotArea collapsedLevelsAreSubtotals="1" fieldPosition="0">
        <references count="2">
          <reference field="0" count="0" selected="0"/>
          <reference field="2" count="1">
            <x v="359"/>
          </reference>
        </references>
      </pivotArea>
    </format>
    <format dxfId="789">
      <pivotArea collapsedLevelsAreSubtotals="1" fieldPosition="0">
        <references count="2">
          <reference field="0" count="0" selected="0"/>
          <reference field="2" count="1">
            <x v="360"/>
          </reference>
        </references>
      </pivotArea>
    </format>
    <format dxfId="788">
      <pivotArea collapsedLevelsAreSubtotals="1" fieldPosition="0">
        <references count="2">
          <reference field="0" count="0" selected="0"/>
          <reference field="2" count="1">
            <x v="361"/>
          </reference>
        </references>
      </pivotArea>
    </format>
    <format dxfId="787">
      <pivotArea collapsedLevelsAreSubtotals="1" fieldPosition="0">
        <references count="2">
          <reference field="0" count="0" selected="0"/>
          <reference field="2" count="1">
            <x v="362"/>
          </reference>
        </references>
      </pivotArea>
    </format>
    <format dxfId="786">
      <pivotArea collapsedLevelsAreSubtotals="1" fieldPosition="0">
        <references count="2">
          <reference field="0" count="0" selected="0"/>
          <reference field="2" count="1">
            <x v="363"/>
          </reference>
        </references>
      </pivotArea>
    </format>
    <format dxfId="785">
      <pivotArea collapsedLevelsAreSubtotals="1" fieldPosition="0">
        <references count="2">
          <reference field="0" count="0" selected="0"/>
          <reference field="2" count="1">
            <x v="364"/>
          </reference>
        </references>
      </pivotArea>
    </format>
    <format dxfId="784">
      <pivotArea collapsedLevelsAreSubtotals="1" fieldPosition="0">
        <references count="2">
          <reference field="0" count="0" selected="0"/>
          <reference field="2" count="1">
            <x v="365"/>
          </reference>
        </references>
      </pivotArea>
    </format>
    <format dxfId="783">
      <pivotArea collapsedLevelsAreSubtotals="1" fieldPosition="0">
        <references count="2">
          <reference field="0" count="0" selected="0"/>
          <reference field="2" count="1">
            <x v="275"/>
          </reference>
        </references>
      </pivotArea>
    </format>
    <format dxfId="782">
      <pivotArea collapsedLevelsAreSubtotals="1" fieldPosition="0">
        <references count="2">
          <reference field="0" count="0" selected="0"/>
          <reference field="2" count="1">
            <x v="276"/>
          </reference>
        </references>
      </pivotArea>
    </format>
    <format dxfId="781">
      <pivotArea collapsedLevelsAreSubtotals="1" fieldPosition="0">
        <references count="2">
          <reference field="0" count="0" selected="0"/>
          <reference field="2" count="1">
            <x v="277"/>
          </reference>
        </references>
      </pivotArea>
    </format>
    <format dxfId="780">
      <pivotArea collapsedLevelsAreSubtotals="1" fieldPosition="0">
        <references count="2">
          <reference field="0" count="0" selected="0"/>
          <reference field="2" count="1">
            <x v="278"/>
          </reference>
        </references>
      </pivotArea>
    </format>
    <format dxfId="779">
      <pivotArea collapsedLevelsAreSubtotals="1" fieldPosition="0">
        <references count="2">
          <reference field="0" count="0" selected="0"/>
          <reference field="2" count="1">
            <x v="279"/>
          </reference>
        </references>
      </pivotArea>
    </format>
    <format dxfId="778">
      <pivotArea collapsedLevelsAreSubtotals="1" fieldPosition="0">
        <references count="2">
          <reference field="0" count="0" selected="0"/>
          <reference field="2" count="1">
            <x v="280"/>
          </reference>
        </references>
      </pivotArea>
    </format>
    <format dxfId="777">
      <pivotArea collapsedLevelsAreSubtotals="1" fieldPosition="0">
        <references count="2">
          <reference field="0" count="0" selected="0"/>
          <reference field="2" count="1">
            <x v="281"/>
          </reference>
        </references>
      </pivotArea>
    </format>
    <format dxfId="776">
      <pivotArea collapsedLevelsAreSubtotals="1" fieldPosition="0">
        <references count="2">
          <reference field="0" count="0" selected="0"/>
          <reference field="2" count="1">
            <x v="282"/>
          </reference>
        </references>
      </pivotArea>
    </format>
    <format dxfId="775">
      <pivotArea collapsedLevelsAreSubtotals="1" fieldPosition="0">
        <references count="2">
          <reference field="0" count="0" selected="0"/>
          <reference field="2" count="1">
            <x v="283"/>
          </reference>
        </references>
      </pivotArea>
    </format>
    <format dxfId="774">
      <pivotArea collapsedLevelsAreSubtotals="1" fieldPosition="0">
        <references count="2">
          <reference field="0" count="0" selected="0"/>
          <reference field="2" count="1">
            <x v="284"/>
          </reference>
        </references>
      </pivotArea>
    </format>
    <format dxfId="773">
      <pivotArea collapsedLevelsAreSubtotals="1" fieldPosition="0">
        <references count="2">
          <reference field="0" count="0" selected="0"/>
          <reference field="2" count="1">
            <x v="285"/>
          </reference>
        </references>
      </pivotArea>
    </format>
    <format dxfId="772">
      <pivotArea collapsedLevelsAreSubtotals="1" fieldPosition="0">
        <references count="2">
          <reference field="0" count="0" selected="0"/>
          <reference field="2" count="1">
            <x v="286"/>
          </reference>
        </references>
      </pivotArea>
    </format>
    <format dxfId="771">
      <pivotArea collapsedLevelsAreSubtotals="1" fieldPosition="0">
        <references count="2">
          <reference field="0" count="0" selected="0"/>
          <reference field="2" count="1">
            <x v="287"/>
          </reference>
        </references>
      </pivotArea>
    </format>
    <format dxfId="770">
      <pivotArea collapsedLevelsAreSubtotals="1" fieldPosition="0">
        <references count="2">
          <reference field="0" count="0" selected="0"/>
          <reference field="2" count="1">
            <x v="288"/>
          </reference>
        </references>
      </pivotArea>
    </format>
    <format dxfId="769">
      <pivotArea collapsedLevelsAreSubtotals="1" fieldPosition="0">
        <references count="2">
          <reference field="0" count="0" selected="0"/>
          <reference field="2" count="1">
            <x v="289"/>
          </reference>
        </references>
      </pivotArea>
    </format>
    <format dxfId="768">
      <pivotArea collapsedLevelsAreSubtotals="1" fieldPosition="0">
        <references count="2">
          <reference field="0" count="0" selected="0"/>
          <reference field="2" count="1">
            <x v="290"/>
          </reference>
        </references>
      </pivotArea>
    </format>
    <format dxfId="767">
      <pivotArea collapsedLevelsAreSubtotals="1" fieldPosition="0">
        <references count="2">
          <reference field="0" count="0" selected="0"/>
          <reference field="2" count="1">
            <x v="291"/>
          </reference>
        </references>
      </pivotArea>
    </format>
    <format dxfId="766">
      <pivotArea collapsedLevelsAreSubtotals="1" fieldPosition="0">
        <references count="2">
          <reference field="0" count="0" selected="0"/>
          <reference field="2" count="1">
            <x v="292"/>
          </reference>
        </references>
      </pivotArea>
    </format>
    <format dxfId="765">
      <pivotArea collapsedLevelsAreSubtotals="1" fieldPosition="0">
        <references count="2">
          <reference field="0" count="0" selected="0"/>
          <reference field="2" count="1">
            <x v="293"/>
          </reference>
        </references>
      </pivotArea>
    </format>
    <format dxfId="764">
      <pivotArea collapsedLevelsAreSubtotals="1" fieldPosition="0">
        <references count="2">
          <reference field="0" count="0" selected="0"/>
          <reference field="2" count="1">
            <x v="294"/>
          </reference>
        </references>
      </pivotArea>
    </format>
    <format dxfId="763">
      <pivotArea collapsedLevelsAreSubtotals="1" fieldPosition="0">
        <references count="2">
          <reference field="0" count="0" selected="0"/>
          <reference field="2" count="1">
            <x v="295"/>
          </reference>
        </references>
      </pivotArea>
    </format>
    <format dxfId="762">
      <pivotArea collapsedLevelsAreSubtotals="1" fieldPosition="0">
        <references count="2">
          <reference field="0" count="0" selected="0"/>
          <reference field="2" count="1">
            <x v="296"/>
          </reference>
        </references>
      </pivotArea>
    </format>
    <format dxfId="761">
      <pivotArea collapsedLevelsAreSubtotals="1" fieldPosition="0">
        <references count="2">
          <reference field="0" count="0" selected="0"/>
          <reference field="2" count="1">
            <x v="297"/>
          </reference>
        </references>
      </pivotArea>
    </format>
    <format dxfId="760">
      <pivotArea collapsedLevelsAreSubtotals="1" fieldPosition="0">
        <references count="2">
          <reference field="0" count="0" selected="0"/>
          <reference field="2" count="1">
            <x v="298"/>
          </reference>
        </references>
      </pivotArea>
    </format>
    <format dxfId="759">
      <pivotArea collapsedLevelsAreSubtotals="1" fieldPosition="0">
        <references count="2">
          <reference field="0" count="0" selected="0"/>
          <reference field="2" count="1">
            <x v="299"/>
          </reference>
        </references>
      </pivotArea>
    </format>
    <format dxfId="758">
      <pivotArea collapsedLevelsAreSubtotals="1" fieldPosition="0">
        <references count="2">
          <reference field="0" count="0" selected="0"/>
          <reference field="2" count="1">
            <x v="300"/>
          </reference>
        </references>
      </pivotArea>
    </format>
    <format dxfId="757">
      <pivotArea collapsedLevelsAreSubtotals="1" fieldPosition="0">
        <references count="2">
          <reference field="0" count="0" selected="0"/>
          <reference field="2" count="1">
            <x v="301"/>
          </reference>
        </references>
      </pivotArea>
    </format>
    <format dxfId="756">
      <pivotArea collapsedLevelsAreSubtotals="1" fieldPosition="0">
        <references count="2">
          <reference field="0" count="0" selected="0"/>
          <reference field="2" count="1">
            <x v="302"/>
          </reference>
        </references>
      </pivotArea>
    </format>
    <format dxfId="755">
      <pivotArea collapsedLevelsAreSubtotals="1" fieldPosition="0">
        <references count="2">
          <reference field="0" count="0" selected="0"/>
          <reference field="2" count="1">
            <x v="303"/>
          </reference>
        </references>
      </pivotArea>
    </format>
    <format dxfId="754">
      <pivotArea collapsedLevelsAreSubtotals="1" fieldPosition="0">
        <references count="2">
          <reference field="0" count="0" selected="0"/>
          <reference field="2" count="1">
            <x v="304"/>
          </reference>
        </references>
      </pivotArea>
    </format>
    <format dxfId="753">
      <pivotArea collapsedLevelsAreSubtotals="1" fieldPosition="0">
        <references count="2">
          <reference field="0" count="0" selected="0"/>
          <reference field="2" count="1">
            <x v="305"/>
          </reference>
        </references>
      </pivotArea>
    </format>
  </formats>
  <chartFormats count="2">
    <chartFormat chart="13"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Final]"/>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A4DA06-1CCC-4348-8264-15F0FF247F39}" name="PivotTable4" cacheId="15" applyNumberFormats="0" applyBorderFormats="0" applyFontFormats="0" applyPatternFormats="0" applyAlignmentFormats="0" applyWidthHeightFormats="1" dataCaption="Values" tag="4dbe0997-fe90-4ddd-bfaf-8695250c32be" updatedVersion="7" minRefreshableVersion="3" subtotalHiddenItems="1" itemPrintTitles="1" createdVersion="5" indent="0" outline="1" outlineData="1" multipleFieldFilters="0" chartFormat="13">
  <location ref="E3:F36"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s>
  <rowFields count="3">
    <field x="0"/>
    <field x="3"/>
    <field x="2"/>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chartFormats count="7">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Final]"/>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4E9DCC-FE2E-4B88-A15F-2E400C4DFB4F}" name="PivotTable1" cacheId="18" applyNumberFormats="0" applyBorderFormats="0" applyFontFormats="0" applyPatternFormats="0" applyAlignmentFormats="0" applyWidthHeightFormats="1" dataCaption="Values" tag="4dbe0997-fe90-4ddd-bfaf-8695250c32be" updatedVersion="7" minRefreshableVersion="3" subtotalHiddenItems="1" itemPrintTitles="1" createdVersion="5"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4ED1F9-F750-4EDA-95DB-3E47431111FA}" name="PivotTable7" cacheId="33" dataPosition="0" applyNumberFormats="0" applyBorderFormats="0" applyFontFormats="0" applyPatternFormats="0" applyAlignmentFormats="0" applyWidthHeightFormats="1" dataCaption="Values" tag="4dbe0997-fe90-4ddd-bfaf-8695250c32be" updatedVersion="7" minRefreshableVersion="3" subtotalHiddenItems="1" itemPrintTitles="1" createdVersion="5" indent="0" outline="1" outlineData="1" multipleFieldFilters="0" chartFormat="1">
  <location ref="A18:C21"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1121">
      <pivotArea outline="0" collapsedLevelsAreSubtotals="1" fieldPosition="0"/>
    </format>
    <format dxfId="1120">
      <pivotArea collapsedLevelsAreSubtotals="1" fieldPosition="0">
        <references count="1">
          <reference field="1" count="0"/>
        </references>
      </pivotArea>
    </format>
    <format dxfId="1119">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Final]"/>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8969DA-7B2C-4109-8CC5-A947830190A3}" name="PivotTable2" cacheId="21" applyNumberFormats="0" applyBorderFormats="0" applyFontFormats="0" applyPatternFormats="0" applyAlignmentFormats="0" applyWidthHeightFormats="1" dataCaption="Values" tag="c9a71d38-7c70-4913-9d84-a79aa8ec9239" updatedVersion="7" minRefreshableVersion="3" subtotalHiddenItems="1" itemPrintTitles="1" createdVersion="5"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122">
      <pivotArea outline="0" collapsedLevelsAreSubtotals="1" fieldPosition="0"/>
    </format>
  </formats>
  <pivotHierarchies count="36">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16AB90-395B-4A67-823F-6896AE20E9FE}" name="PivotTable3" cacheId="24" applyNumberFormats="0" applyBorderFormats="0" applyFontFormats="0" applyPatternFormats="0" applyAlignmentFormats="0" applyWidthHeightFormats="1" dataCaption="Values" tag="4dbe0997-fe90-4ddd-bfaf-8695250c32be" updatedVersion="7" minRefreshableVersion="3" subtotalHiddenItems="1" itemPrintTitles="1" createdVersion="5"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123">
      <pivotArea outline="0" collapsedLevelsAreSubtotals="1" fieldPosition="0"/>
    </format>
  </formats>
  <pivotHierarchies count="36">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0341832-45BF-49DB-A88A-1F5EE6769684}" name="PivotTable6" cacheId="30" applyNumberFormats="0" applyBorderFormats="0" applyFontFormats="0" applyPatternFormats="0" applyAlignmentFormats="0" applyWidthHeightFormats="1" dataCaption="Values" tag="4dbe0997-fe90-4ddd-bfaf-8695250c32be" updatedVersion="7" minRefreshableVersion="3" subtotalHiddenItems="1" itemPrintTitles="1" createdVersion="5" indent="0" outline="1" outlineData="1" multipleFieldFilters="0" chartFormat="28">
  <location ref="L3:M36"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2">
        <item x="0"/>
        <item x="1"/>
      </items>
    </pivotField>
    <pivotField axis="axisRow" allDrilled="1" subtotalTop="0" showAll="0" dataSourceSort="1" defaultSubtotal="0">
      <items count="366">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x="139" e="0"/>
        <item x="140" e="0"/>
        <item x="141" e="0"/>
        <item x="142" e="0"/>
        <item x="143" e="0"/>
        <item x="144" e="0"/>
        <item x="145" e="0"/>
        <item x="146" e="0"/>
        <item x="147" e="0"/>
        <item x="148" e="0"/>
        <item x="149" e="0"/>
        <item x="150" e="0"/>
        <item x="151" e="0"/>
        <item x="152" e="0"/>
        <item x="153" e="0"/>
        <item x="154" e="0"/>
        <item x="155" e="0"/>
        <item x="156" e="0"/>
        <item x="157" e="0"/>
        <item x="158" e="0"/>
        <item x="159" e="0"/>
        <item x="160" e="0"/>
        <item x="161" e="0"/>
        <item x="162" e="0"/>
        <item x="163" e="0"/>
        <item x="164" e="0"/>
        <item x="165" e="0"/>
        <item x="166" e="0"/>
        <item x="167" e="0"/>
        <item x="168" e="0"/>
        <item x="169" e="0"/>
        <item x="170" e="0"/>
        <item x="171" e="0"/>
        <item x="172" e="0"/>
        <item x="173" e="0"/>
        <item x="174" e="0"/>
        <item x="175" e="0"/>
        <item x="176" e="0"/>
        <item x="177" e="0"/>
        <item x="178" e="0"/>
        <item x="179" e="0"/>
        <item x="180" e="0"/>
        <item x="181" e="0"/>
        <item x="182" e="0"/>
        <item x="183" e="0"/>
        <item x="184" e="0"/>
        <item x="185" e="0"/>
        <item x="186" e="0"/>
        <item x="187" e="0"/>
        <item x="188" e="0"/>
        <item x="189" e="0"/>
        <item x="190" e="0"/>
        <item x="191" e="0"/>
        <item x="192" e="0"/>
        <item x="193" e="0"/>
        <item x="194" e="0"/>
        <item x="195" e="0"/>
        <item x="196" e="0"/>
        <item x="197" e="0"/>
        <item x="198" e="0"/>
        <item x="199" e="0"/>
        <item x="200" e="0"/>
        <item x="201" e="0"/>
        <item x="202" e="0"/>
        <item x="203" e="0"/>
        <item x="204" e="0"/>
        <item x="205" e="0"/>
        <item x="206" e="0"/>
        <item x="207" e="0"/>
        <item x="208" e="0"/>
        <item x="209" e="0"/>
        <item x="210" e="0"/>
        <item x="211" e="0"/>
        <item x="212" e="0"/>
        <item x="213" e="0"/>
        <item x="214" e="0"/>
        <item x="215" e="0"/>
        <item x="216" e="0"/>
        <item x="217" e="0"/>
        <item x="218" e="0"/>
        <item x="219" e="0"/>
        <item x="220" e="0"/>
        <item x="221" e="0"/>
        <item x="222" e="0"/>
        <item x="223" e="0"/>
        <item x="224" e="0"/>
        <item x="225" e="0"/>
        <item x="226" e="0"/>
        <item x="227" e="0"/>
        <item x="228" e="0"/>
        <item x="229" e="0"/>
        <item x="230" e="0"/>
        <item x="231" e="0"/>
        <item x="232" e="0"/>
        <item x="233" e="0"/>
        <item x="234" e="0"/>
        <item x="235" e="0"/>
        <item x="236" e="0"/>
        <item x="237" e="0"/>
        <item x="238" e="0"/>
        <item x="239" e="0"/>
        <item x="240" e="0"/>
        <item x="241" e="0"/>
        <item x="242" e="0"/>
        <item x="243" e="0"/>
        <item x="244" e="0"/>
        <item x="245" e="0"/>
        <item x="246" e="0"/>
        <item x="247" e="0"/>
        <item x="248" e="0"/>
        <item x="249" e="0"/>
        <item x="250" e="0"/>
        <item x="251" e="0"/>
        <item x="252" e="0"/>
        <item x="253" e="0"/>
        <item x="254" e="0"/>
        <item x="255" e="0"/>
        <item x="256" e="0"/>
        <item x="257" e="0"/>
        <item x="258" e="0"/>
        <item x="259" e="0"/>
        <item x="260" e="0"/>
        <item x="261" e="0"/>
        <item x="262" e="0"/>
        <item x="263" e="0"/>
        <item x="264" e="0"/>
        <item x="265" e="0"/>
        <item x="266" e="0"/>
        <item x="267" e="0"/>
        <item x="268" e="0"/>
        <item x="269" e="0"/>
        <item x="270" e="0"/>
        <item x="271" e="0"/>
        <item x="272" e="0"/>
        <item x="273" e="0"/>
        <item x="274" e="0"/>
        <item x="275" e="0"/>
        <item x="276" e="0"/>
        <item x="277" e="0"/>
        <item x="278" e="0"/>
        <item x="279" e="0"/>
        <item x="280" e="0"/>
        <item x="281" e="0"/>
        <item x="282" e="0"/>
        <item x="283" e="0"/>
        <item x="284" e="0"/>
        <item x="285" e="0"/>
        <item x="286" e="0"/>
        <item x="287" e="0"/>
        <item x="288" e="0"/>
        <item x="289" e="0"/>
        <item x="290" e="0"/>
        <item x="291" e="0"/>
        <item x="292" e="0"/>
        <item x="293" e="0"/>
        <item x="294" e="0"/>
        <item x="295" e="0"/>
        <item x="296" e="0"/>
        <item x="297" e="0"/>
        <item x="298" e="0"/>
        <item x="299" e="0"/>
        <item x="300" e="0"/>
        <item x="301" e="0"/>
        <item x="302" e="0"/>
        <item x="303" e="0"/>
        <item x="304" e="0"/>
        <item x="305" e="0"/>
        <item x="306" e="0"/>
        <item x="307" e="0"/>
        <item x="308" e="0"/>
        <item x="309" e="0"/>
        <item x="310" e="0"/>
        <item x="311" e="0"/>
        <item x="312" e="0"/>
        <item x="313" e="0"/>
        <item x="314" e="0"/>
        <item x="315" e="0"/>
        <item x="316" e="0"/>
        <item x="317" e="0"/>
        <item x="318" e="0"/>
        <item x="319" e="0"/>
        <item x="320" e="0"/>
        <item x="321" e="0"/>
        <item x="322" e="0"/>
        <item x="323" e="0"/>
        <item x="324" e="0"/>
        <item x="325" e="0"/>
        <item x="326" e="0"/>
        <item x="327" e="0"/>
        <item x="328" e="0"/>
        <item x="329" e="0"/>
        <item x="330" e="0"/>
        <item x="331" e="0"/>
        <item x="332" e="0"/>
        <item x="333" e="0"/>
        <item x="334" e="0"/>
        <item x="335" e="0"/>
        <item x="336" e="0"/>
        <item x="337" e="0"/>
        <item x="338" e="0"/>
        <item x="339" e="0"/>
        <item x="340" e="0"/>
        <item x="341" e="0"/>
        <item x="342" e="0"/>
        <item x="343" e="0"/>
        <item x="344" e="0"/>
        <item x="345" e="0"/>
        <item x="346" e="0"/>
        <item x="347" e="0"/>
        <item x="348" e="0"/>
        <item x="349" e="0"/>
        <item x="350" e="0"/>
        <item x="351" e="0"/>
        <item x="352" e="0"/>
        <item x="353" e="0"/>
        <item x="354" e="0"/>
        <item x="355" e="0"/>
        <item x="356" e="0"/>
        <item x="357" e="0"/>
        <item x="358" e="0"/>
        <item x="359" e="0"/>
        <item x="360" e="0"/>
        <item x="361" e="0"/>
        <item x="362" e="0"/>
        <item x="363" e="0"/>
        <item x="364" e="0"/>
        <item x="365" e="0"/>
      </items>
    </pivotField>
    <pivotField dataField="1" subtotalTop="0" showAll="0" defaultSubtotal="0"/>
  </pivotFields>
  <rowFields count="3">
    <field x="0"/>
    <field x="2"/>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Satisfaction Score" fld="3" subtotal="average" baseField="2" baseItem="11"/>
  </dataFields>
  <formats count="366">
    <format dxfId="1489">
      <pivotArea collapsedLevelsAreSubtotals="1" fieldPosition="0">
        <references count="2">
          <reference field="0" count="0" selected="0"/>
          <reference field="2" count="1">
            <x v="181"/>
          </reference>
        </references>
      </pivotArea>
    </format>
    <format dxfId="1488">
      <pivotArea collapsedLevelsAreSubtotals="1" fieldPosition="0">
        <references count="2">
          <reference field="0" count="0" selected="0"/>
          <reference field="2" count="1">
            <x v="182"/>
          </reference>
        </references>
      </pivotArea>
    </format>
    <format dxfId="1487">
      <pivotArea collapsedLevelsAreSubtotals="1" fieldPosition="0">
        <references count="2">
          <reference field="0" count="0" selected="0"/>
          <reference field="2" count="1">
            <x v="183"/>
          </reference>
        </references>
      </pivotArea>
    </format>
    <format dxfId="1486">
      <pivotArea collapsedLevelsAreSubtotals="1" fieldPosition="0">
        <references count="2">
          <reference field="0" count="0" selected="0"/>
          <reference field="2" count="1">
            <x v="184"/>
          </reference>
        </references>
      </pivotArea>
    </format>
    <format dxfId="1485">
      <pivotArea collapsedLevelsAreSubtotals="1" fieldPosition="0">
        <references count="2">
          <reference field="0" count="0" selected="0"/>
          <reference field="2" count="1">
            <x v="185"/>
          </reference>
        </references>
      </pivotArea>
    </format>
    <format dxfId="1484">
      <pivotArea collapsedLevelsAreSubtotals="1" fieldPosition="0">
        <references count="2">
          <reference field="0" count="0" selected="0"/>
          <reference field="2" count="1">
            <x v="186"/>
          </reference>
        </references>
      </pivotArea>
    </format>
    <format dxfId="1483">
      <pivotArea collapsedLevelsAreSubtotals="1" fieldPosition="0">
        <references count="2">
          <reference field="0" count="0" selected="0"/>
          <reference field="2" count="1">
            <x v="187"/>
          </reference>
        </references>
      </pivotArea>
    </format>
    <format dxfId="1482">
      <pivotArea collapsedLevelsAreSubtotals="1" fieldPosition="0">
        <references count="2">
          <reference field="0" count="0" selected="0"/>
          <reference field="2" count="1">
            <x v="188"/>
          </reference>
        </references>
      </pivotArea>
    </format>
    <format dxfId="1481">
      <pivotArea collapsedLevelsAreSubtotals="1" fieldPosition="0">
        <references count="2">
          <reference field="0" count="0" selected="0"/>
          <reference field="2" count="1">
            <x v="189"/>
          </reference>
        </references>
      </pivotArea>
    </format>
    <format dxfId="1480">
      <pivotArea collapsedLevelsAreSubtotals="1" fieldPosition="0">
        <references count="2">
          <reference field="0" count="0" selected="0"/>
          <reference field="2" count="1">
            <x v="190"/>
          </reference>
        </references>
      </pivotArea>
    </format>
    <format dxfId="1479">
      <pivotArea collapsedLevelsAreSubtotals="1" fieldPosition="0">
        <references count="2">
          <reference field="0" count="0" selected="0"/>
          <reference field="2" count="1">
            <x v="191"/>
          </reference>
        </references>
      </pivotArea>
    </format>
    <format dxfId="1478">
      <pivotArea collapsedLevelsAreSubtotals="1" fieldPosition="0">
        <references count="2">
          <reference field="0" count="0" selected="0"/>
          <reference field="2" count="1">
            <x v="192"/>
          </reference>
        </references>
      </pivotArea>
    </format>
    <format dxfId="1477">
      <pivotArea collapsedLevelsAreSubtotals="1" fieldPosition="0">
        <references count="2">
          <reference field="0" count="0" selected="0"/>
          <reference field="2" count="1">
            <x v="193"/>
          </reference>
        </references>
      </pivotArea>
    </format>
    <format dxfId="1476">
      <pivotArea collapsedLevelsAreSubtotals="1" fieldPosition="0">
        <references count="2">
          <reference field="0" count="0" selected="0"/>
          <reference field="2" count="1">
            <x v="194"/>
          </reference>
        </references>
      </pivotArea>
    </format>
    <format dxfId="1475">
      <pivotArea collapsedLevelsAreSubtotals="1" fieldPosition="0">
        <references count="2">
          <reference field="0" count="0" selected="0"/>
          <reference field="2" count="1">
            <x v="195"/>
          </reference>
        </references>
      </pivotArea>
    </format>
    <format dxfId="1474">
      <pivotArea collapsedLevelsAreSubtotals="1" fieldPosition="0">
        <references count="2">
          <reference field="0" count="0" selected="0"/>
          <reference field="2" count="1">
            <x v="196"/>
          </reference>
        </references>
      </pivotArea>
    </format>
    <format dxfId="1473">
      <pivotArea collapsedLevelsAreSubtotals="1" fieldPosition="0">
        <references count="2">
          <reference field="0" count="0" selected="0"/>
          <reference field="2" count="1">
            <x v="197"/>
          </reference>
        </references>
      </pivotArea>
    </format>
    <format dxfId="1472">
      <pivotArea collapsedLevelsAreSubtotals="1" fieldPosition="0">
        <references count="2">
          <reference field="0" count="0" selected="0"/>
          <reference field="2" count="1">
            <x v="198"/>
          </reference>
        </references>
      </pivotArea>
    </format>
    <format dxfId="1471">
      <pivotArea collapsedLevelsAreSubtotals="1" fieldPosition="0">
        <references count="2">
          <reference field="0" count="0" selected="0"/>
          <reference field="2" count="1">
            <x v="199"/>
          </reference>
        </references>
      </pivotArea>
    </format>
    <format dxfId="1470">
      <pivotArea collapsedLevelsAreSubtotals="1" fieldPosition="0">
        <references count="2">
          <reference field="0" count="0" selected="0"/>
          <reference field="2" count="1">
            <x v="200"/>
          </reference>
        </references>
      </pivotArea>
    </format>
    <format dxfId="1469">
      <pivotArea collapsedLevelsAreSubtotals="1" fieldPosition="0">
        <references count="2">
          <reference field="0" count="0" selected="0"/>
          <reference field="2" count="1">
            <x v="201"/>
          </reference>
        </references>
      </pivotArea>
    </format>
    <format dxfId="1468">
      <pivotArea collapsedLevelsAreSubtotals="1" fieldPosition="0">
        <references count="2">
          <reference field="0" count="0" selected="0"/>
          <reference field="2" count="1">
            <x v="202"/>
          </reference>
        </references>
      </pivotArea>
    </format>
    <format dxfId="1467">
      <pivotArea collapsedLevelsAreSubtotals="1" fieldPosition="0">
        <references count="2">
          <reference field="0" count="0" selected="0"/>
          <reference field="2" count="1">
            <x v="203"/>
          </reference>
        </references>
      </pivotArea>
    </format>
    <format dxfId="1466">
      <pivotArea collapsedLevelsAreSubtotals="1" fieldPosition="0">
        <references count="2">
          <reference field="0" count="0" selected="0"/>
          <reference field="2" count="1">
            <x v="204"/>
          </reference>
        </references>
      </pivotArea>
    </format>
    <format dxfId="1465">
      <pivotArea collapsedLevelsAreSubtotals="1" fieldPosition="0">
        <references count="2">
          <reference field="0" count="0" selected="0"/>
          <reference field="2" count="1">
            <x v="205"/>
          </reference>
        </references>
      </pivotArea>
    </format>
    <format dxfId="1464">
      <pivotArea collapsedLevelsAreSubtotals="1" fieldPosition="0">
        <references count="2">
          <reference field="0" count="0" selected="0"/>
          <reference field="2" count="1">
            <x v="206"/>
          </reference>
        </references>
      </pivotArea>
    </format>
    <format dxfId="1463">
      <pivotArea collapsedLevelsAreSubtotals="1" fieldPosition="0">
        <references count="2">
          <reference field="0" count="0" selected="0"/>
          <reference field="2" count="1">
            <x v="207"/>
          </reference>
        </references>
      </pivotArea>
    </format>
    <format dxfId="1462">
      <pivotArea collapsedLevelsAreSubtotals="1" fieldPosition="0">
        <references count="2">
          <reference field="0" count="0" selected="0"/>
          <reference field="2" count="1">
            <x v="208"/>
          </reference>
        </references>
      </pivotArea>
    </format>
    <format dxfId="1461">
      <pivotArea collapsedLevelsAreSubtotals="1" fieldPosition="0">
        <references count="2">
          <reference field="0" count="0" selected="0"/>
          <reference field="2" count="1">
            <x v="209"/>
          </reference>
        </references>
      </pivotArea>
    </format>
    <format dxfId="1460">
      <pivotArea collapsedLevelsAreSubtotals="1" fieldPosition="0">
        <references count="2">
          <reference field="0" count="0" selected="0"/>
          <reference field="2" count="1">
            <x v="210"/>
          </reference>
        </references>
      </pivotArea>
    </format>
    <format dxfId="1459">
      <pivotArea collapsedLevelsAreSubtotals="1" fieldPosition="0">
        <references count="2">
          <reference field="0" count="0" selected="0"/>
          <reference field="2" count="1">
            <x v="211"/>
          </reference>
        </references>
      </pivotArea>
    </format>
    <format dxfId="1458">
      <pivotArea collapsedLevelsAreSubtotals="1" fieldPosition="0">
        <references count="2">
          <reference field="0" count="0" selected="0"/>
          <reference field="2" count="1">
            <x v="62"/>
          </reference>
        </references>
      </pivotArea>
    </format>
    <format dxfId="1457">
      <pivotArea collapsedLevelsAreSubtotals="1" fieldPosition="0">
        <references count="2">
          <reference field="0" count="0" selected="0"/>
          <reference field="2" count="1">
            <x v="63"/>
          </reference>
        </references>
      </pivotArea>
    </format>
    <format dxfId="1456">
      <pivotArea collapsedLevelsAreSubtotals="1" fieldPosition="0">
        <references count="2">
          <reference field="0" count="0" selected="0"/>
          <reference field="2" count="1">
            <x v="64"/>
          </reference>
        </references>
      </pivotArea>
    </format>
    <format dxfId="1455">
      <pivotArea collapsedLevelsAreSubtotals="1" fieldPosition="0">
        <references count="2">
          <reference field="0" count="0" selected="0"/>
          <reference field="2" count="1">
            <x v="65"/>
          </reference>
        </references>
      </pivotArea>
    </format>
    <format dxfId="1454">
      <pivotArea collapsedLevelsAreSubtotals="1" fieldPosition="0">
        <references count="2">
          <reference field="0" count="0" selected="0"/>
          <reference field="2" count="1">
            <x v="66"/>
          </reference>
        </references>
      </pivotArea>
    </format>
    <format dxfId="1453">
      <pivotArea collapsedLevelsAreSubtotals="1" fieldPosition="0">
        <references count="2">
          <reference field="0" count="0" selected="0"/>
          <reference field="2" count="1">
            <x v="67"/>
          </reference>
        </references>
      </pivotArea>
    </format>
    <format dxfId="1452">
      <pivotArea collapsedLevelsAreSubtotals="1" fieldPosition="0">
        <references count="2">
          <reference field="0" count="0" selected="0"/>
          <reference field="2" count="1">
            <x v="68"/>
          </reference>
        </references>
      </pivotArea>
    </format>
    <format dxfId="1451">
      <pivotArea collapsedLevelsAreSubtotals="1" fieldPosition="0">
        <references count="2">
          <reference field="0" count="0" selected="0"/>
          <reference field="2" count="1">
            <x v="69"/>
          </reference>
        </references>
      </pivotArea>
    </format>
    <format dxfId="1450">
      <pivotArea collapsedLevelsAreSubtotals="1" fieldPosition="0">
        <references count="2">
          <reference field="0" count="0" selected="0"/>
          <reference field="2" count="1">
            <x v="70"/>
          </reference>
        </references>
      </pivotArea>
    </format>
    <format dxfId="1449">
      <pivotArea collapsedLevelsAreSubtotals="1" fieldPosition="0">
        <references count="2">
          <reference field="0" count="0" selected="0"/>
          <reference field="2" count="1">
            <x v="71"/>
          </reference>
        </references>
      </pivotArea>
    </format>
    <format dxfId="1448">
      <pivotArea collapsedLevelsAreSubtotals="1" fieldPosition="0">
        <references count="2">
          <reference field="0" count="0" selected="0"/>
          <reference field="2" count="1">
            <x v="72"/>
          </reference>
        </references>
      </pivotArea>
    </format>
    <format dxfId="1447">
      <pivotArea collapsedLevelsAreSubtotals="1" fieldPosition="0">
        <references count="2">
          <reference field="0" count="0" selected="0"/>
          <reference field="2" count="1">
            <x v="73"/>
          </reference>
        </references>
      </pivotArea>
    </format>
    <format dxfId="1446">
      <pivotArea collapsedLevelsAreSubtotals="1" fieldPosition="0">
        <references count="2">
          <reference field="0" count="0" selected="0"/>
          <reference field="2" count="1">
            <x v="74"/>
          </reference>
        </references>
      </pivotArea>
    </format>
    <format dxfId="1445">
      <pivotArea collapsedLevelsAreSubtotals="1" fieldPosition="0">
        <references count="2">
          <reference field="0" count="0" selected="0"/>
          <reference field="2" count="1">
            <x v="75"/>
          </reference>
        </references>
      </pivotArea>
    </format>
    <format dxfId="1444">
      <pivotArea collapsedLevelsAreSubtotals="1" fieldPosition="0">
        <references count="2">
          <reference field="0" count="0" selected="0"/>
          <reference field="2" count="1">
            <x v="76"/>
          </reference>
        </references>
      </pivotArea>
    </format>
    <format dxfId="1443">
      <pivotArea collapsedLevelsAreSubtotals="1" fieldPosition="0">
        <references count="2">
          <reference field="0" count="0" selected="0"/>
          <reference field="2" count="1">
            <x v="77"/>
          </reference>
        </references>
      </pivotArea>
    </format>
    <format dxfId="1442">
      <pivotArea collapsedLevelsAreSubtotals="1" fieldPosition="0">
        <references count="2">
          <reference field="0" count="0" selected="0"/>
          <reference field="2" count="1">
            <x v="78"/>
          </reference>
        </references>
      </pivotArea>
    </format>
    <format dxfId="1441">
      <pivotArea collapsedLevelsAreSubtotals="1" fieldPosition="0">
        <references count="2">
          <reference field="0" count="0" selected="0"/>
          <reference field="2" count="1">
            <x v="79"/>
          </reference>
        </references>
      </pivotArea>
    </format>
    <format dxfId="1440">
      <pivotArea collapsedLevelsAreSubtotals="1" fieldPosition="0">
        <references count="2">
          <reference field="0" count="0" selected="0"/>
          <reference field="2" count="1">
            <x v="80"/>
          </reference>
        </references>
      </pivotArea>
    </format>
    <format dxfId="1439">
      <pivotArea collapsedLevelsAreSubtotals="1" fieldPosition="0">
        <references count="2">
          <reference field="0" count="0" selected="0"/>
          <reference field="2" count="1">
            <x v="81"/>
          </reference>
        </references>
      </pivotArea>
    </format>
    <format dxfId="1438">
      <pivotArea collapsedLevelsAreSubtotals="1" fieldPosition="0">
        <references count="2">
          <reference field="0" count="0" selected="0"/>
          <reference field="2" count="1">
            <x v="82"/>
          </reference>
        </references>
      </pivotArea>
    </format>
    <format dxfId="1437">
      <pivotArea collapsedLevelsAreSubtotals="1" fieldPosition="0">
        <references count="2">
          <reference field="0" count="0" selected="0"/>
          <reference field="2" count="1">
            <x v="83"/>
          </reference>
        </references>
      </pivotArea>
    </format>
    <format dxfId="1436">
      <pivotArea collapsedLevelsAreSubtotals="1" fieldPosition="0">
        <references count="2">
          <reference field="0" count="0" selected="0"/>
          <reference field="2" count="1">
            <x v="84"/>
          </reference>
        </references>
      </pivotArea>
    </format>
    <format dxfId="1435">
      <pivotArea collapsedLevelsAreSubtotals="1" fieldPosition="0">
        <references count="2">
          <reference field="0" count="0" selected="0"/>
          <reference field="2" count="1">
            <x v="85"/>
          </reference>
        </references>
      </pivotArea>
    </format>
    <format dxfId="1434">
      <pivotArea collapsedLevelsAreSubtotals="1" fieldPosition="0">
        <references count="2">
          <reference field="0" count="0" selected="0"/>
          <reference field="2" count="1">
            <x v="86"/>
          </reference>
        </references>
      </pivotArea>
    </format>
    <format dxfId="1433">
      <pivotArea collapsedLevelsAreSubtotals="1" fieldPosition="0">
        <references count="2">
          <reference field="0" count="0" selected="0"/>
          <reference field="2" count="1">
            <x v="87"/>
          </reference>
        </references>
      </pivotArea>
    </format>
    <format dxfId="1432">
      <pivotArea collapsedLevelsAreSubtotals="1" fieldPosition="0">
        <references count="2">
          <reference field="0" count="0" selected="0"/>
          <reference field="2" count="1">
            <x v="88"/>
          </reference>
        </references>
      </pivotArea>
    </format>
    <format dxfId="1431">
      <pivotArea collapsedLevelsAreSubtotals="1" fieldPosition="0">
        <references count="2">
          <reference field="0" count="0" selected="0"/>
          <reference field="2" count="1">
            <x v="89"/>
          </reference>
        </references>
      </pivotArea>
    </format>
    <format dxfId="1430">
      <pivotArea collapsedLevelsAreSubtotals="1" fieldPosition="0">
        <references count="2">
          <reference field="0" count="0" selected="0"/>
          <reference field="2" count="1">
            <x v="90"/>
          </reference>
        </references>
      </pivotArea>
    </format>
    <format dxfId="1429">
      <pivotArea collapsedLevelsAreSubtotals="1" fieldPosition="0">
        <references count="2">
          <reference field="0" count="0" selected="0"/>
          <reference field="2" count="1">
            <x v="91"/>
          </reference>
        </references>
      </pivotArea>
    </format>
    <format dxfId="1428">
      <pivotArea collapsedLevelsAreSubtotals="1" fieldPosition="0">
        <references count="2">
          <reference field="0" count="0" selected="0"/>
          <reference field="2" count="1">
            <x v="92"/>
          </reference>
        </references>
      </pivotArea>
    </format>
    <format dxfId="1427">
      <pivotArea collapsedLevelsAreSubtotals="1" fieldPosition="0">
        <references count="2">
          <reference field="0" count="0" selected="0"/>
          <reference field="2" count="1">
            <x v="93"/>
          </reference>
        </references>
      </pivotArea>
    </format>
    <format dxfId="1426">
      <pivotArea collapsedLevelsAreSubtotals="1" fieldPosition="0">
        <references count="2">
          <reference field="0" count="0" selected="0"/>
          <reference field="2" count="1">
            <x v="94"/>
          </reference>
        </references>
      </pivotArea>
    </format>
    <format dxfId="1425">
      <pivotArea collapsedLevelsAreSubtotals="1" fieldPosition="0">
        <references count="2">
          <reference field="0" count="0" selected="0"/>
          <reference field="2" count="1">
            <x v="95"/>
          </reference>
        </references>
      </pivotArea>
    </format>
    <format dxfId="1424">
      <pivotArea collapsedLevelsAreSubtotals="1" fieldPosition="0">
        <references count="2">
          <reference field="0" count="0" selected="0"/>
          <reference field="2" count="1">
            <x v="96"/>
          </reference>
        </references>
      </pivotArea>
    </format>
    <format dxfId="1423">
      <pivotArea collapsedLevelsAreSubtotals="1" fieldPosition="0">
        <references count="2">
          <reference field="0" count="0" selected="0"/>
          <reference field="2" count="1">
            <x v="97"/>
          </reference>
        </references>
      </pivotArea>
    </format>
    <format dxfId="1422">
      <pivotArea collapsedLevelsAreSubtotals="1" fieldPosition="0">
        <references count="2">
          <reference field="0" count="0" selected="0"/>
          <reference field="2" count="1">
            <x v="98"/>
          </reference>
        </references>
      </pivotArea>
    </format>
    <format dxfId="1421">
      <pivotArea collapsedLevelsAreSubtotals="1" fieldPosition="0">
        <references count="2">
          <reference field="0" count="0" selected="0"/>
          <reference field="2" count="1">
            <x v="99"/>
          </reference>
        </references>
      </pivotArea>
    </format>
    <format dxfId="1420">
      <pivotArea collapsedLevelsAreSubtotals="1" fieldPosition="0">
        <references count="2">
          <reference field="0" count="0" selected="0"/>
          <reference field="2" count="1">
            <x v="100"/>
          </reference>
        </references>
      </pivotArea>
    </format>
    <format dxfId="1419">
      <pivotArea collapsedLevelsAreSubtotals="1" fieldPosition="0">
        <references count="2">
          <reference field="0" count="0" selected="0"/>
          <reference field="2" count="1">
            <x v="101"/>
          </reference>
        </references>
      </pivotArea>
    </format>
    <format dxfId="1418">
      <pivotArea collapsedLevelsAreSubtotals="1" fieldPosition="0">
        <references count="2">
          <reference field="0" count="0" selected="0"/>
          <reference field="2" count="1">
            <x v="102"/>
          </reference>
        </references>
      </pivotArea>
    </format>
    <format dxfId="1417">
      <pivotArea collapsedLevelsAreSubtotals="1" fieldPosition="0">
        <references count="2">
          <reference field="0" count="0" selected="0"/>
          <reference field="2" count="1">
            <x v="103"/>
          </reference>
        </references>
      </pivotArea>
    </format>
    <format dxfId="1416">
      <pivotArea collapsedLevelsAreSubtotals="1" fieldPosition="0">
        <references count="2">
          <reference field="0" count="0" selected="0"/>
          <reference field="2" count="1">
            <x v="104"/>
          </reference>
        </references>
      </pivotArea>
    </format>
    <format dxfId="1415">
      <pivotArea collapsedLevelsAreSubtotals="1" fieldPosition="0">
        <references count="2">
          <reference field="0" count="0" selected="0"/>
          <reference field="2" count="1">
            <x v="105"/>
          </reference>
        </references>
      </pivotArea>
    </format>
    <format dxfId="1414">
      <pivotArea collapsedLevelsAreSubtotals="1" fieldPosition="0">
        <references count="2">
          <reference field="0" count="0" selected="0"/>
          <reference field="2" count="1">
            <x v="106"/>
          </reference>
        </references>
      </pivotArea>
    </format>
    <format dxfId="1413">
      <pivotArea collapsedLevelsAreSubtotals="1" fieldPosition="0">
        <references count="2">
          <reference field="0" count="0" selected="0"/>
          <reference field="2" count="1">
            <x v="107"/>
          </reference>
        </references>
      </pivotArea>
    </format>
    <format dxfId="1412">
      <pivotArea collapsedLevelsAreSubtotals="1" fieldPosition="0">
        <references count="2">
          <reference field="0" count="0" selected="0"/>
          <reference field="2" count="1">
            <x v="108"/>
          </reference>
        </references>
      </pivotArea>
    </format>
    <format dxfId="1411">
      <pivotArea collapsedLevelsAreSubtotals="1" fieldPosition="0">
        <references count="2">
          <reference field="0" count="0" selected="0"/>
          <reference field="2" count="1">
            <x v="109"/>
          </reference>
        </references>
      </pivotArea>
    </format>
    <format dxfId="1410">
      <pivotArea collapsedLevelsAreSubtotals="1" fieldPosition="0">
        <references count="2">
          <reference field="0" count="0" selected="0"/>
          <reference field="2" count="1">
            <x v="110"/>
          </reference>
        </references>
      </pivotArea>
    </format>
    <format dxfId="1409">
      <pivotArea collapsedLevelsAreSubtotals="1" fieldPosition="0">
        <references count="2">
          <reference field="0" count="0" selected="0"/>
          <reference field="2" count="1">
            <x v="111"/>
          </reference>
        </references>
      </pivotArea>
    </format>
    <format dxfId="1408">
      <pivotArea collapsedLevelsAreSubtotals="1" fieldPosition="0">
        <references count="2">
          <reference field="0" count="0" selected="0"/>
          <reference field="2" count="1">
            <x v="112"/>
          </reference>
        </references>
      </pivotArea>
    </format>
    <format dxfId="1407">
      <pivotArea collapsedLevelsAreSubtotals="1" fieldPosition="0">
        <references count="2">
          <reference field="0" count="0" selected="0"/>
          <reference field="2" count="1">
            <x v="113"/>
          </reference>
        </references>
      </pivotArea>
    </format>
    <format dxfId="1406">
      <pivotArea collapsedLevelsAreSubtotals="1" fieldPosition="0">
        <references count="2">
          <reference field="0" count="0" selected="0"/>
          <reference field="2" count="1">
            <x v="114"/>
          </reference>
        </references>
      </pivotArea>
    </format>
    <format dxfId="1405">
      <pivotArea collapsedLevelsAreSubtotals="1" fieldPosition="0">
        <references count="2">
          <reference field="0" count="0" selected="0"/>
          <reference field="2" count="1">
            <x v="115"/>
          </reference>
        </references>
      </pivotArea>
    </format>
    <format dxfId="1404">
      <pivotArea collapsedLevelsAreSubtotals="1" fieldPosition="0">
        <references count="2">
          <reference field="0" count="0" selected="0"/>
          <reference field="2" count="1">
            <x v="116"/>
          </reference>
        </references>
      </pivotArea>
    </format>
    <format dxfId="1403">
      <pivotArea collapsedLevelsAreSubtotals="1" fieldPosition="0">
        <references count="2">
          <reference field="0" count="0" selected="0"/>
          <reference field="2" count="1">
            <x v="117"/>
          </reference>
        </references>
      </pivotArea>
    </format>
    <format dxfId="1402">
      <pivotArea collapsedLevelsAreSubtotals="1" fieldPosition="0">
        <references count="2">
          <reference field="0" count="0" selected="0"/>
          <reference field="2" count="1">
            <x v="118"/>
          </reference>
        </references>
      </pivotArea>
    </format>
    <format dxfId="1401">
      <pivotArea collapsedLevelsAreSubtotals="1" fieldPosition="0">
        <references count="2">
          <reference field="0" count="0" selected="0"/>
          <reference field="2" count="1">
            <x v="119"/>
          </reference>
        </references>
      </pivotArea>
    </format>
    <format dxfId="1400">
      <pivotArea collapsedLevelsAreSubtotals="1" fieldPosition="0">
        <references count="2">
          <reference field="0" count="0" selected="0"/>
          <reference field="2" count="1">
            <x v="120"/>
          </reference>
        </references>
      </pivotArea>
    </format>
    <format dxfId="1399">
      <pivotArea collapsedLevelsAreSubtotals="1" fieldPosition="0">
        <references count="2">
          <reference field="0" count="0" selected="0"/>
          <reference field="2" count="1">
            <x v="121"/>
          </reference>
        </references>
      </pivotArea>
    </format>
    <format dxfId="1398">
      <pivotArea collapsedLevelsAreSubtotals="1" fieldPosition="0">
        <references count="2">
          <reference field="0" count="0" selected="0"/>
          <reference field="2" count="1">
            <x v="243"/>
          </reference>
        </references>
      </pivotArea>
    </format>
    <format dxfId="1397">
      <pivotArea collapsedLevelsAreSubtotals="1" fieldPosition="0">
        <references count="2">
          <reference field="0" count="0" selected="0"/>
          <reference field="2" count="1">
            <x v="244"/>
          </reference>
        </references>
      </pivotArea>
    </format>
    <format dxfId="1396">
      <pivotArea collapsedLevelsAreSubtotals="1" fieldPosition="0">
        <references count="2">
          <reference field="0" count="0" selected="0"/>
          <reference field="2" count="1">
            <x v="245"/>
          </reference>
        </references>
      </pivotArea>
    </format>
    <format dxfId="1395">
      <pivotArea collapsedLevelsAreSubtotals="1" fieldPosition="0">
        <references count="2">
          <reference field="0" count="0" selected="0"/>
          <reference field="2" count="1">
            <x v="246"/>
          </reference>
        </references>
      </pivotArea>
    </format>
    <format dxfId="1394">
      <pivotArea collapsedLevelsAreSubtotals="1" fieldPosition="0">
        <references count="2">
          <reference field="0" count="0" selected="0"/>
          <reference field="2" count="1">
            <x v="247"/>
          </reference>
        </references>
      </pivotArea>
    </format>
    <format dxfId="1393">
      <pivotArea collapsedLevelsAreSubtotals="1" fieldPosition="0">
        <references count="2">
          <reference field="0" count="0" selected="0"/>
          <reference field="2" count="1">
            <x v="248"/>
          </reference>
        </references>
      </pivotArea>
    </format>
    <format dxfId="1392">
      <pivotArea collapsedLevelsAreSubtotals="1" fieldPosition="0">
        <references count="2">
          <reference field="0" count="0" selected="0"/>
          <reference field="2" count="1">
            <x v="249"/>
          </reference>
        </references>
      </pivotArea>
    </format>
    <format dxfId="1391">
      <pivotArea collapsedLevelsAreSubtotals="1" fieldPosition="0">
        <references count="2">
          <reference field="0" count="0" selected="0"/>
          <reference field="2" count="1">
            <x v="250"/>
          </reference>
        </references>
      </pivotArea>
    </format>
    <format dxfId="1390">
      <pivotArea collapsedLevelsAreSubtotals="1" fieldPosition="0">
        <references count="2">
          <reference field="0" count="0" selected="0"/>
          <reference field="2" count="1">
            <x v="251"/>
          </reference>
        </references>
      </pivotArea>
    </format>
    <format dxfId="1389">
      <pivotArea collapsedLevelsAreSubtotals="1" fieldPosition="0">
        <references count="2">
          <reference field="0" count="0" selected="0"/>
          <reference field="2" count="1">
            <x v="252"/>
          </reference>
        </references>
      </pivotArea>
    </format>
    <format dxfId="1388">
      <pivotArea collapsedLevelsAreSubtotals="1" fieldPosition="0">
        <references count="2">
          <reference field="0" count="0" selected="0"/>
          <reference field="2" count="1">
            <x v="253"/>
          </reference>
        </references>
      </pivotArea>
    </format>
    <format dxfId="1387">
      <pivotArea collapsedLevelsAreSubtotals="1" fieldPosition="0">
        <references count="2">
          <reference field="0" count="0" selected="0"/>
          <reference field="2" count="1">
            <x v="254"/>
          </reference>
        </references>
      </pivotArea>
    </format>
    <format dxfId="1386">
      <pivotArea collapsedLevelsAreSubtotals="1" fieldPosition="0">
        <references count="2">
          <reference field="0" count="0" selected="0"/>
          <reference field="2" count="1">
            <x v="255"/>
          </reference>
        </references>
      </pivotArea>
    </format>
    <format dxfId="1385">
      <pivotArea collapsedLevelsAreSubtotals="1" fieldPosition="0">
        <references count="2">
          <reference field="0" count="0" selected="0"/>
          <reference field="2" count="1">
            <x v="256"/>
          </reference>
        </references>
      </pivotArea>
    </format>
    <format dxfId="1384">
      <pivotArea collapsedLevelsAreSubtotals="1" fieldPosition="0">
        <references count="2">
          <reference field="0" count="0" selected="0"/>
          <reference field="2" count="1">
            <x v="257"/>
          </reference>
        </references>
      </pivotArea>
    </format>
    <format dxfId="1383">
      <pivotArea collapsedLevelsAreSubtotals="1" fieldPosition="0">
        <references count="2">
          <reference field="0" count="0" selected="0"/>
          <reference field="2" count="1">
            <x v="258"/>
          </reference>
        </references>
      </pivotArea>
    </format>
    <format dxfId="1382">
      <pivotArea collapsedLevelsAreSubtotals="1" fieldPosition="0">
        <references count="2">
          <reference field="0" count="0" selected="0"/>
          <reference field="2" count="1">
            <x v="259"/>
          </reference>
        </references>
      </pivotArea>
    </format>
    <format dxfId="1381">
      <pivotArea collapsedLevelsAreSubtotals="1" fieldPosition="0">
        <references count="2">
          <reference field="0" count="0" selected="0"/>
          <reference field="2" count="1">
            <x v="260"/>
          </reference>
        </references>
      </pivotArea>
    </format>
    <format dxfId="1380">
      <pivotArea collapsedLevelsAreSubtotals="1" fieldPosition="0">
        <references count="2">
          <reference field="0" count="0" selected="0"/>
          <reference field="2" count="1">
            <x v="261"/>
          </reference>
        </references>
      </pivotArea>
    </format>
    <format dxfId="1379">
      <pivotArea collapsedLevelsAreSubtotals="1" fieldPosition="0">
        <references count="2">
          <reference field="0" count="0" selected="0"/>
          <reference field="2" count="1">
            <x v="262"/>
          </reference>
        </references>
      </pivotArea>
    </format>
    <format dxfId="1378">
      <pivotArea collapsedLevelsAreSubtotals="1" fieldPosition="0">
        <references count="2">
          <reference field="0" count="0" selected="0"/>
          <reference field="2" count="1">
            <x v="263"/>
          </reference>
        </references>
      </pivotArea>
    </format>
    <format dxfId="1377">
      <pivotArea collapsedLevelsAreSubtotals="1" fieldPosition="0">
        <references count="2">
          <reference field="0" count="0" selected="0"/>
          <reference field="2" count="1">
            <x v="264"/>
          </reference>
        </references>
      </pivotArea>
    </format>
    <format dxfId="1376">
      <pivotArea collapsedLevelsAreSubtotals="1" fieldPosition="0">
        <references count="2">
          <reference field="0" count="0" selected="0"/>
          <reference field="2" count="1">
            <x v="265"/>
          </reference>
        </references>
      </pivotArea>
    </format>
    <format dxfId="1375">
      <pivotArea collapsedLevelsAreSubtotals="1" fieldPosition="0">
        <references count="2">
          <reference field="0" count="0" selected="0"/>
          <reference field="2" count="1">
            <x v="266"/>
          </reference>
        </references>
      </pivotArea>
    </format>
    <format dxfId="1374">
      <pivotArea collapsedLevelsAreSubtotals="1" fieldPosition="0">
        <references count="2">
          <reference field="0" count="0" selected="0"/>
          <reference field="2" count="1">
            <x v="267"/>
          </reference>
        </references>
      </pivotArea>
    </format>
    <format dxfId="1373">
      <pivotArea collapsedLevelsAreSubtotals="1" fieldPosition="0">
        <references count="2">
          <reference field="0" count="0" selected="0"/>
          <reference field="2" count="1">
            <x v="268"/>
          </reference>
        </references>
      </pivotArea>
    </format>
    <format dxfId="1372">
      <pivotArea collapsedLevelsAreSubtotals="1" fieldPosition="0">
        <references count="2">
          <reference field="0" count="0" selected="0"/>
          <reference field="2" count="1">
            <x v="269"/>
          </reference>
        </references>
      </pivotArea>
    </format>
    <format dxfId="1371">
      <pivotArea collapsedLevelsAreSubtotals="1" fieldPosition="0">
        <references count="2">
          <reference field="0" count="0" selected="0"/>
          <reference field="2" count="1">
            <x v="270"/>
          </reference>
        </references>
      </pivotArea>
    </format>
    <format dxfId="1370">
      <pivotArea collapsedLevelsAreSubtotals="1" fieldPosition="0">
        <references count="2">
          <reference field="0" count="0" selected="0"/>
          <reference field="2" count="1">
            <x v="271"/>
          </reference>
        </references>
      </pivotArea>
    </format>
    <format dxfId="1369">
      <pivotArea collapsedLevelsAreSubtotals="1" fieldPosition="0">
        <references count="2">
          <reference field="0" count="0" selected="0"/>
          <reference field="2" count="1">
            <x v="272"/>
          </reference>
        </references>
      </pivotArea>
    </format>
    <format dxfId="1368">
      <pivotArea collapsedLevelsAreSubtotals="1" fieldPosition="0">
        <references count="2">
          <reference field="0" count="0" selected="0"/>
          <reference field="2" count="1">
            <x v="273"/>
          </reference>
        </references>
      </pivotArea>
    </format>
    <format dxfId="1367">
      <pivotArea collapsedLevelsAreSubtotals="1" fieldPosition="0">
        <references count="2">
          <reference field="0" count="0" selected="0"/>
          <reference field="2" count="1">
            <x v="122"/>
          </reference>
        </references>
      </pivotArea>
    </format>
    <format dxfId="1366">
      <pivotArea collapsedLevelsAreSubtotals="1" fieldPosition="0">
        <references count="2">
          <reference field="0" count="0" selected="0"/>
          <reference field="2" count="1">
            <x v="123"/>
          </reference>
        </references>
      </pivotArea>
    </format>
    <format dxfId="1365">
      <pivotArea collapsedLevelsAreSubtotals="1" fieldPosition="0">
        <references count="2">
          <reference field="0" count="0" selected="0"/>
          <reference field="2" count="1">
            <x v="124"/>
          </reference>
        </references>
      </pivotArea>
    </format>
    <format dxfId="1364">
      <pivotArea collapsedLevelsAreSubtotals="1" fieldPosition="0">
        <references count="2">
          <reference field="0" count="0" selected="0"/>
          <reference field="2" count="1">
            <x v="125"/>
          </reference>
        </references>
      </pivotArea>
    </format>
    <format dxfId="1363">
      <pivotArea collapsedLevelsAreSubtotals="1" fieldPosition="0">
        <references count="2">
          <reference field="0" count="0" selected="0"/>
          <reference field="2" count="1">
            <x v="126"/>
          </reference>
        </references>
      </pivotArea>
    </format>
    <format dxfId="1362">
      <pivotArea collapsedLevelsAreSubtotals="1" fieldPosition="0">
        <references count="2">
          <reference field="0" count="0" selected="0"/>
          <reference field="2" count="1">
            <x v="127"/>
          </reference>
        </references>
      </pivotArea>
    </format>
    <format dxfId="1361">
      <pivotArea collapsedLevelsAreSubtotals="1" fieldPosition="0">
        <references count="2">
          <reference field="0" count="0" selected="0"/>
          <reference field="2" count="1">
            <x v="128"/>
          </reference>
        </references>
      </pivotArea>
    </format>
    <format dxfId="1360">
      <pivotArea collapsedLevelsAreSubtotals="1" fieldPosition="0">
        <references count="2">
          <reference field="0" count="0" selected="0"/>
          <reference field="2" count="1">
            <x v="129"/>
          </reference>
        </references>
      </pivotArea>
    </format>
    <format dxfId="1359">
      <pivotArea collapsedLevelsAreSubtotals="1" fieldPosition="0">
        <references count="2">
          <reference field="0" count="0" selected="0"/>
          <reference field="2" count="1">
            <x v="130"/>
          </reference>
        </references>
      </pivotArea>
    </format>
    <format dxfId="1358">
      <pivotArea collapsedLevelsAreSubtotals="1" fieldPosition="0">
        <references count="2">
          <reference field="0" count="0" selected="0"/>
          <reference field="2" count="1">
            <x v="131"/>
          </reference>
        </references>
      </pivotArea>
    </format>
    <format dxfId="1357">
      <pivotArea collapsedLevelsAreSubtotals="1" fieldPosition="0">
        <references count="2">
          <reference field="0" count="0" selected="0"/>
          <reference field="2" count="1">
            <x v="132"/>
          </reference>
        </references>
      </pivotArea>
    </format>
    <format dxfId="1356">
      <pivotArea collapsedLevelsAreSubtotals="1" fieldPosition="0">
        <references count="2">
          <reference field="0" count="0" selected="0"/>
          <reference field="2" count="1">
            <x v="133"/>
          </reference>
        </references>
      </pivotArea>
    </format>
    <format dxfId="1355">
      <pivotArea collapsedLevelsAreSubtotals="1" fieldPosition="0">
        <references count="2">
          <reference field="0" count="0" selected="0"/>
          <reference field="2" count="1">
            <x v="134"/>
          </reference>
        </references>
      </pivotArea>
    </format>
    <format dxfId="1354">
      <pivotArea collapsedLevelsAreSubtotals="1" fieldPosition="0">
        <references count="2">
          <reference field="0" count="0" selected="0"/>
          <reference field="2" count="1">
            <x v="135"/>
          </reference>
        </references>
      </pivotArea>
    </format>
    <format dxfId="1353">
      <pivotArea collapsedLevelsAreSubtotals="1" fieldPosition="0">
        <references count="2">
          <reference field="0" count="0" selected="0"/>
          <reference field="2" count="1">
            <x v="136"/>
          </reference>
        </references>
      </pivotArea>
    </format>
    <format dxfId="1352">
      <pivotArea collapsedLevelsAreSubtotals="1" fieldPosition="0">
        <references count="2">
          <reference field="0" count="0" selected="0"/>
          <reference field="2" count="1">
            <x v="137"/>
          </reference>
        </references>
      </pivotArea>
    </format>
    <format dxfId="1351">
      <pivotArea collapsedLevelsAreSubtotals="1" fieldPosition="0">
        <references count="2">
          <reference field="0" count="0" selected="0"/>
          <reference field="2" count="1">
            <x v="138"/>
          </reference>
        </references>
      </pivotArea>
    </format>
    <format dxfId="1350">
      <pivotArea collapsedLevelsAreSubtotals="1" fieldPosition="0">
        <references count="2">
          <reference field="0" count="0" selected="0"/>
          <reference field="2" count="1">
            <x v="139"/>
          </reference>
        </references>
      </pivotArea>
    </format>
    <format dxfId="1349">
      <pivotArea collapsedLevelsAreSubtotals="1" fieldPosition="0">
        <references count="2">
          <reference field="0" count="0" selected="0"/>
          <reference field="2" count="1">
            <x v="140"/>
          </reference>
        </references>
      </pivotArea>
    </format>
    <format dxfId="1348">
      <pivotArea collapsedLevelsAreSubtotals="1" fieldPosition="0">
        <references count="2">
          <reference field="0" count="0" selected="0"/>
          <reference field="2" count="1">
            <x v="141"/>
          </reference>
        </references>
      </pivotArea>
    </format>
    <format dxfId="1347">
      <pivotArea collapsedLevelsAreSubtotals="1" fieldPosition="0">
        <references count="2">
          <reference field="0" count="0" selected="0"/>
          <reference field="2" count="1">
            <x v="142"/>
          </reference>
        </references>
      </pivotArea>
    </format>
    <format dxfId="1346">
      <pivotArea collapsedLevelsAreSubtotals="1" fieldPosition="0">
        <references count="2">
          <reference field="0" count="0" selected="0"/>
          <reference field="2" count="1">
            <x v="143"/>
          </reference>
        </references>
      </pivotArea>
    </format>
    <format dxfId="1345">
      <pivotArea collapsedLevelsAreSubtotals="1" fieldPosition="0">
        <references count="2">
          <reference field="0" count="0" selected="0"/>
          <reference field="2" count="1">
            <x v="144"/>
          </reference>
        </references>
      </pivotArea>
    </format>
    <format dxfId="1344">
      <pivotArea collapsedLevelsAreSubtotals="1" fieldPosition="0">
        <references count="2">
          <reference field="0" count="0" selected="0"/>
          <reference field="2" count="1">
            <x v="145"/>
          </reference>
        </references>
      </pivotArea>
    </format>
    <format dxfId="1343">
      <pivotArea collapsedLevelsAreSubtotals="1" fieldPosition="0">
        <references count="2">
          <reference field="0" count="0" selected="0"/>
          <reference field="2" count="1">
            <x v="146"/>
          </reference>
        </references>
      </pivotArea>
    </format>
    <format dxfId="1342">
      <pivotArea collapsedLevelsAreSubtotals="1" fieldPosition="0">
        <references count="2">
          <reference field="0" count="0" selected="0"/>
          <reference field="2" count="1">
            <x v="365"/>
          </reference>
        </references>
      </pivotArea>
    </format>
    <format dxfId="1341">
      <pivotArea collapsedLevelsAreSubtotals="1" fieldPosition="0">
        <references count="2">
          <reference field="0" count="0" selected="0"/>
          <reference field="2" count="1">
            <x v="147"/>
          </reference>
        </references>
      </pivotArea>
    </format>
    <format dxfId="1340">
      <pivotArea collapsedLevelsAreSubtotals="1" fieldPosition="0">
        <references count="2">
          <reference field="0" count="0" selected="0"/>
          <reference field="2" count="1">
            <x v="148"/>
          </reference>
        </references>
      </pivotArea>
    </format>
    <format dxfId="1339">
      <pivotArea collapsedLevelsAreSubtotals="1" fieldPosition="0">
        <references count="2">
          <reference field="0" count="0" selected="0"/>
          <reference field="2" count="1">
            <x v="149"/>
          </reference>
        </references>
      </pivotArea>
    </format>
    <format dxfId="1338">
      <pivotArea collapsedLevelsAreSubtotals="1" fieldPosition="0">
        <references count="2">
          <reference field="0" count="0" selected="0"/>
          <reference field="2" count="1">
            <x v="212"/>
          </reference>
        </references>
      </pivotArea>
    </format>
    <format dxfId="1337">
      <pivotArea collapsedLevelsAreSubtotals="1" fieldPosition="0">
        <references count="2">
          <reference field="0" count="0" selected="0"/>
          <reference field="2" count="1">
            <x v="213"/>
          </reference>
        </references>
      </pivotArea>
    </format>
    <format dxfId="1336">
      <pivotArea collapsedLevelsAreSubtotals="1" fieldPosition="0">
        <references count="2">
          <reference field="0" count="0" selected="0"/>
          <reference field="2" count="1">
            <x v="214"/>
          </reference>
        </references>
      </pivotArea>
    </format>
    <format dxfId="1335">
      <pivotArea collapsedLevelsAreSubtotals="1" fieldPosition="0">
        <references count="2">
          <reference field="0" count="0" selected="0"/>
          <reference field="2" count="1">
            <x v="215"/>
          </reference>
        </references>
      </pivotArea>
    </format>
    <format dxfId="1334">
      <pivotArea collapsedLevelsAreSubtotals="1" fieldPosition="0">
        <references count="2">
          <reference field="0" count="0" selected="0"/>
          <reference field="2" count="1">
            <x v="216"/>
          </reference>
        </references>
      </pivotArea>
    </format>
    <format dxfId="1333">
      <pivotArea collapsedLevelsAreSubtotals="1" fieldPosition="0">
        <references count="2">
          <reference field="0" count="0" selected="0"/>
          <reference field="2" count="1">
            <x v="217"/>
          </reference>
        </references>
      </pivotArea>
    </format>
    <format dxfId="1332">
      <pivotArea collapsedLevelsAreSubtotals="1" fieldPosition="0">
        <references count="2">
          <reference field="0" count="0" selected="0"/>
          <reference field="2" count="1">
            <x v="218"/>
          </reference>
        </references>
      </pivotArea>
    </format>
    <format dxfId="1331">
      <pivotArea collapsedLevelsAreSubtotals="1" fieldPosition="0">
        <references count="2">
          <reference field="0" count="0" selected="0"/>
          <reference field="2" count="1">
            <x v="219"/>
          </reference>
        </references>
      </pivotArea>
    </format>
    <format dxfId="1330">
      <pivotArea collapsedLevelsAreSubtotals="1" fieldPosition="0">
        <references count="2">
          <reference field="0" count="0" selected="0"/>
          <reference field="2" count="1">
            <x v="220"/>
          </reference>
        </references>
      </pivotArea>
    </format>
    <format dxfId="1329">
      <pivotArea collapsedLevelsAreSubtotals="1" fieldPosition="0">
        <references count="2">
          <reference field="0" count="0" selected="0"/>
          <reference field="2" count="1">
            <x v="221"/>
          </reference>
        </references>
      </pivotArea>
    </format>
    <format dxfId="1328">
      <pivotArea collapsedLevelsAreSubtotals="1" fieldPosition="0">
        <references count="2">
          <reference field="0" count="0" selected="0"/>
          <reference field="2" count="1">
            <x v="222"/>
          </reference>
        </references>
      </pivotArea>
    </format>
    <format dxfId="1327">
      <pivotArea collapsedLevelsAreSubtotals="1" fieldPosition="0">
        <references count="2">
          <reference field="0" count="0" selected="0"/>
          <reference field="2" count="1">
            <x v="223"/>
          </reference>
        </references>
      </pivotArea>
    </format>
    <format dxfId="1326">
      <pivotArea collapsedLevelsAreSubtotals="1" fieldPosition="0">
        <references count="2">
          <reference field="0" count="0" selected="0"/>
          <reference field="2" count="1">
            <x v="224"/>
          </reference>
        </references>
      </pivotArea>
    </format>
    <format dxfId="1325">
      <pivotArea collapsedLevelsAreSubtotals="1" fieldPosition="0">
        <references count="2">
          <reference field="0" count="0" selected="0"/>
          <reference field="2" count="1">
            <x v="225"/>
          </reference>
        </references>
      </pivotArea>
    </format>
    <format dxfId="1324">
      <pivotArea collapsedLevelsAreSubtotals="1" fieldPosition="0">
        <references count="2">
          <reference field="0" count="0" selected="0"/>
          <reference field="2" count="1">
            <x v="226"/>
          </reference>
        </references>
      </pivotArea>
    </format>
    <format dxfId="1323">
      <pivotArea collapsedLevelsAreSubtotals="1" fieldPosition="0">
        <references count="2">
          <reference field="0" count="0" selected="0"/>
          <reference field="2" count="1">
            <x v="227"/>
          </reference>
        </references>
      </pivotArea>
    </format>
    <format dxfId="1322">
      <pivotArea collapsedLevelsAreSubtotals="1" fieldPosition="0">
        <references count="2">
          <reference field="0" count="0" selected="0"/>
          <reference field="2" count="1">
            <x v="228"/>
          </reference>
        </references>
      </pivotArea>
    </format>
    <format dxfId="1321">
      <pivotArea collapsedLevelsAreSubtotals="1" fieldPosition="0">
        <references count="2">
          <reference field="0" count="0" selected="0"/>
          <reference field="2" count="1">
            <x v="229"/>
          </reference>
        </references>
      </pivotArea>
    </format>
    <format dxfId="1320">
      <pivotArea collapsedLevelsAreSubtotals="1" fieldPosition="0">
        <references count="2">
          <reference field="0" count="0" selected="0"/>
          <reference field="2" count="1">
            <x v="230"/>
          </reference>
        </references>
      </pivotArea>
    </format>
    <format dxfId="1319">
      <pivotArea collapsedLevelsAreSubtotals="1" fieldPosition="0">
        <references count="2">
          <reference field="0" count="0" selected="0"/>
          <reference field="2" count="1">
            <x v="231"/>
          </reference>
        </references>
      </pivotArea>
    </format>
    <format dxfId="1318">
      <pivotArea collapsedLevelsAreSubtotals="1" fieldPosition="0">
        <references count="2">
          <reference field="0" count="0" selected="0"/>
          <reference field="2" count="1">
            <x v="232"/>
          </reference>
        </references>
      </pivotArea>
    </format>
    <format dxfId="1317">
      <pivotArea collapsedLevelsAreSubtotals="1" fieldPosition="0">
        <references count="2">
          <reference field="0" count="0" selected="0"/>
          <reference field="2" count="1">
            <x v="233"/>
          </reference>
        </references>
      </pivotArea>
    </format>
    <format dxfId="1316">
      <pivotArea collapsedLevelsAreSubtotals="1" fieldPosition="0">
        <references count="2">
          <reference field="0" count="0" selected="0"/>
          <reference field="2" count="1">
            <x v="234"/>
          </reference>
        </references>
      </pivotArea>
    </format>
    <format dxfId="1315">
      <pivotArea collapsedLevelsAreSubtotals="1" fieldPosition="0">
        <references count="2">
          <reference field="0" count="0" selected="0"/>
          <reference field="2" count="1">
            <x v="235"/>
          </reference>
        </references>
      </pivotArea>
    </format>
    <format dxfId="1314">
      <pivotArea collapsedLevelsAreSubtotals="1" fieldPosition="0">
        <references count="2">
          <reference field="0" count="0" selected="0"/>
          <reference field="2" count="1">
            <x v="236"/>
          </reference>
        </references>
      </pivotArea>
    </format>
    <format dxfId="1313">
      <pivotArea collapsedLevelsAreSubtotals="1" fieldPosition="0">
        <references count="2">
          <reference field="0" count="0" selected="0"/>
          <reference field="2" count="1">
            <x v="237"/>
          </reference>
        </references>
      </pivotArea>
    </format>
    <format dxfId="1312">
      <pivotArea collapsedLevelsAreSubtotals="1" fieldPosition="0">
        <references count="2">
          <reference field="0" count="0" selected="0"/>
          <reference field="2" count="1">
            <x v="238"/>
          </reference>
        </references>
      </pivotArea>
    </format>
    <format dxfId="1311">
      <pivotArea collapsedLevelsAreSubtotals="1" fieldPosition="0">
        <references count="2">
          <reference field="0" count="0" selected="0"/>
          <reference field="2" count="1">
            <x v="239"/>
          </reference>
        </references>
      </pivotArea>
    </format>
    <format dxfId="1310">
      <pivotArea collapsedLevelsAreSubtotals="1" fieldPosition="0">
        <references count="2">
          <reference field="0" count="0" selected="0"/>
          <reference field="2" count="1">
            <x v="240"/>
          </reference>
        </references>
      </pivotArea>
    </format>
    <format dxfId="1309">
      <pivotArea collapsedLevelsAreSubtotals="1" fieldPosition="0">
        <references count="2">
          <reference field="0" count="0" selected="0"/>
          <reference field="2" count="1">
            <x v="241"/>
          </reference>
        </references>
      </pivotArea>
    </format>
    <format dxfId="1308">
      <pivotArea collapsedLevelsAreSubtotals="1" fieldPosition="0">
        <references count="2">
          <reference field="0" count="0" selected="0"/>
          <reference field="2" count="1">
            <x v="242"/>
          </reference>
        </references>
      </pivotArea>
    </format>
    <format dxfId="1307">
      <pivotArea collapsedLevelsAreSubtotals="1" fieldPosition="0">
        <references count="2">
          <reference field="0" count="0" selected="0"/>
          <reference field="2" count="1">
            <x v="0"/>
          </reference>
        </references>
      </pivotArea>
    </format>
    <format dxfId="1306">
      <pivotArea collapsedLevelsAreSubtotals="1" fieldPosition="0">
        <references count="2">
          <reference field="0" count="0" selected="0"/>
          <reference field="2" count="1">
            <x v="1"/>
          </reference>
        </references>
      </pivotArea>
    </format>
    <format dxfId="1305">
      <pivotArea collapsedLevelsAreSubtotals="1" fieldPosition="0">
        <references count="2">
          <reference field="0" count="0" selected="0"/>
          <reference field="2" count="1">
            <x v="2"/>
          </reference>
        </references>
      </pivotArea>
    </format>
    <format dxfId="1304">
      <pivotArea collapsedLevelsAreSubtotals="1" fieldPosition="0">
        <references count="2">
          <reference field="0" count="0" selected="0"/>
          <reference field="2" count="1">
            <x v="3"/>
          </reference>
        </references>
      </pivotArea>
    </format>
    <format dxfId="1303">
      <pivotArea collapsedLevelsAreSubtotals="1" fieldPosition="0">
        <references count="2">
          <reference field="0" count="0" selected="0"/>
          <reference field="2" count="1">
            <x v="4"/>
          </reference>
        </references>
      </pivotArea>
    </format>
    <format dxfId="1302">
      <pivotArea collapsedLevelsAreSubtotals="1" fieldPosition="0">
        <references count="2">
          <reference field="0" count="0" selected="0"/>
          <reference field="2" count="1">
            <x v="5"/>
          </reference>
        </references>
      </pivotArea>
    </format>
    <format dxfId="1301">
      <pivotArea collapsedLevelsAreSubtotals="1" fieldPosition="0">
        <references count="2">
          <reference field="0" count="0" selected="0"/>
          <reference field="2" count="1">
            <x v="6"/>
          </reference>
        </references>
      </pivotArea>
    </format>
    <format dxfId="1300">
      <pivotArea collapsedLevelsAreSubtotals="1" fieldPosition="0">
        <references count="2">
          <reference field="0" count="0" selected="0"/>
          <reference field="2" count="1">
            <x v="7"/>
          </reference>
        </references>
      </pivotArea>
    </format>
    <format dxfId="1299">
      <pivotArea collapsedLevelsAreSubtotals="1" fieldPosition="0">
        <references count="2">
          <reference field="0" count="0" selected="0"/>
          <reference field="2" count="1">
            <x v="8"/>
          </reference>
        </references>
      </pivotArea>
    </format>
    <format dxfId="1298">
      <pivotArea collapsedLevelsAreSubtotals="1" fieldPosition="0">
        <references count="2">
          <reference field="0" count="0" selected="0"/>
          <reference field="2" count="1">
            <x v="9"/>
          </reference>
        </references>
      </pivotArea>
    </format>
    <format dxfId="1297">
      <pivotArea collapsedLevelsAreSubtotals="1" fieldPosition="0">
        <references count="2">
          <reference field="0" count="0" selected="0"/>
          <reference field="2" count="1">
            <x v="10"/>
          </reference>
        </references>
      </pivotArea>
    </format>
    <format dxfId="1296">
      <pivotArea collapsedLevelsAreSubtotals="1" fieldPosition="0">
        <references count="2">
          <reference field="0" count="0" selected="0"/>
          <reference field="2" count="1">
            <x v="11"/>
          </reference>
        </references>
      </pivotArea>
    </format>
    <format dxfId="1295">
      <pivotArea collapsedLevelsAreSubtotals="1" fieldPosition="0">
        <references count="2">
          <reference field="0" count="0" selected="0"/>
          <reference field="2" count="1">
            <x v="12"/>
          </reference>
        </references>
      </pivotArea>
    </format>
    <format dxfId="1294">
      <pivotArea collapsedLevelsAreSubtotals="1" fieldPosition="0">
        <references count="2">
          <reference field="0" count="0" selected="0"/>
          <reference field="2" count="1">
            <x v="13"/>
          </reference>
        </references>
      </pivotArea>
    </format>
    <format dxfId="1293">
      <pivotArea collapsedLevelsAreSubtotals="1" fieldPosition="0">
        <references count="2">
          <reference field="0" count="0" selected="0"/>
          <reference field="2" count="1">
            <x v="14"/>
          </reference>
        </references>
      </pivotArea>
    </format>
    <format dxfId="1292">
      <pivotArea collapsedLevelsAreSubtotals="1" fieldPosition="0">
        <references count="2">
          <reference field="0" count="0" selected="0"/>
          <reference field="2" count="1">
            <x v="15"/>
          </reference>
        </references>
      </pivotArea>
    </format>
    <format dxfId="1291">
      <pivotArea collapsedLevelsAreSubtotals="1" fieldPosition="0">
        <references count="2">
          <reference field="0" count="0" selected="0"/>
          <reference field="2" count="1">
            <x v="16"/>
          </reference>
        </references>
      </pivotArea>
    </format>
    <format dxfId="1290">
      <pivotArea collapsedLevelsAreSubtotals="1" fieldPosition="0">
        <references count="2">
          <reference field="0" count="0" selected="0"/>
          <reference field="2" count="1">
            <x v="17"/>
          </reference>
        </references>
      </pivotArea>
    </format>
    <format dxfId="1289">
      <pivotArea collapsedLevelsAreSubtotals="1" fieldPosition="0">
        <references count="2">
          <reference field="0" count="0" selected="0"/>
          <reference field="2" count="1">
            <x v="18"/>
          </reference>
        </references>
      </pivotArea>
    </format>
    <format dxfId="1288">
      <pivotArea collapsedLevelsAreSubtotals="1" fieldPosition="0">
        <references count="2">
          <reference field="0" count="0" selected="0"/>
          <reference field="2" count="1">
            <x v="19"/>
          </reference>
        </references>
      </pivotArea>
    </format>
    <format dxfId="1287">
      <pivotArea collapsedLevelsAreSubtotals="1" fieldPosition="0">
        <references count="2">
          <reference field="0" count="0" selected="0"/>
          <reference field="2" count="1">
            <x v="20"/>
          </reference>
        </references>
      </pivotArea>
    </format>
    <format dxfId="1286">
      <pivotArea collapsedLevelsAreSubtotals="1" fieldPosition="0">
        <references count="2">
          <reference field="0" count="0" selected="0"/>
          <reference field="2" count="1">
            <x v="21"/>
          </reference>
        </references>
      </pivotArea>
    </format>
    <format dxfId="1285">
      <pivotArea collapsedLevelsAreSubtotals="1" fieldPosition="0">
        <references count="2">
          <reference field="0" count="0" selected="0"/>
          <reference field="2" count="1">
            <x v="22"/>
          </reference>
        </references>
      </pivotArea>
    </format>
    <format dxfId="1284">
      <pivotArea collapsedLevelsAreSubtotals="1" fieldPosition="0">
        <references count="2">
          <reference field="0" count="0" selected="0"/>
          <reference field="2" count="1">
            <x v="23"/>
          </reference>
        </references>
      </pivotArea>
    </format>
    <format dxfId="1283">
      <pivotArea collapsedLevelsAreSubtotals="1" fieldPosition="0">
        <references count="2">
          <reference field="0" count="0" selected="0"/>
          <reference field="2" count="1">
            <x v="24"/>
          </reference>
        </references>
      </pivotArea>
    </format>
    <format dxfId="1282">
      <pivotArea collapsedLevelsAreSubtotals="1" fieldPosition="0">
        <references count="2">
          <reference field="0" count="0" selected="0"/>
          <reference field="2" count="1">
            <x v="25"/>
          </reference>
        </references>
      </pivotArea>
    </format>
    <format dxfId="1281">
      <pivotArea collapsedLevelsAreSubtotals="1" fieldPosition="0">
        <references count="2">
          <reference field="0" count="0" selected="0"/>
          <reference field="2" count="1">
            <x v="26"/>
          </reference>
        </references>
      </pivotArea>
    </format>
    <format dxfId="1280">
      <pivotArea collapsedLevelsAreSubtotals="1" fieldPosition="0">
        <references count="2">
          <reference field="0" count="0" selected="0"/>
          <reference field="2" count="1">
            <x v="27"/>
          </reference>
        </references>
      </pivotArea>
    </format>
    <format dxfId="1279">
      <pivotArea collapsedLevelsAreSubtotals="1" fieldPosition="0">
        <references count="2">
          <reference field="0" count="0" selected="0"/>
          <reference field="2" count="1">
            <x v="28"/>
          </reference>
        </references>
      </pivotArea>
    </format>
    <format dxfId="1278">
      <pivotArea collapsedLevelsAreSubtotals="1" fieldPosition="0">
        <references count="2">
          <reference field="0" count="0" selected="0"/>
          <reference field="2" count="1">
            <x v="29"/>
          </reference>
        </references>
      </pivotArea>
    </format>
    <format dxfId="1277">
      <pivotArea collapsedLevelsAreSubtotals="1" fieldPosition="0">
        <references count="2">
          <reference field="0" count="0" selected="0"/>
          <reference field="2" count="1">
            <x v="30"/>
          </reference>
        </references>
      </pivotArea>
    </format>
    <format dxfId="1276">
      <pivotArea collapsedLevelsAreSubtotals="1" fieldPosition="0">
        <references count="2">
          <reference field="0" count="0" selected="0"/>
          <reference field="2" count="1">
            <x v="150"/>
          </reference>
        </references>
      </pivotArea>
    </format>
    <format dxfId="1275">
      <pivotArea collapsedLevelsAreSubtotals="1" fieldPosition="0">
        <references count="2">
          <reference field="0" count="0" selected="0"/>
          <reference field="2" count="1">
            <x v="151"/>
          </reference>
        </references>
      </pivotArea>
    </format>
    <format dxfId="1274">
      <pivotArea collapsedLevelsAreSubtotals="1" fieldPosition="0">
        <references count="2">
          <reference field="0" count="0" selected="0"/>
          <reference field="2" count="1">
            <x v="152"/>
          </reference>
        </references>
      </pivotArea>
    </format>
    <format dxfId="1273">
      <pivotArea collapsedLevelsAreSubtotals="1" fieldPosition="0">
        <references count="2">
          <reference field="0" count="0" selected="0"/>
          <reference field="2" count="1">
            <x v="153"/>
          </reference>
        </references>
      </pivotArea>
    </format>
    <format dxfId="1272">
      <pivotArea collapsedLevelsAreSubtotals="1" fieldPosition="0">
        <references count="2">
          <reference field="0" count="0" selected="0"/>
          <reference field="2" count="1">
            <x v="154"/>
          </reference>
        </references>
      </pivotArea>
    </format>
    <format dxfId="1271">
      <pivotArea collapsedLevelsAreSubtotals="1" fieldPosition="0">
        <references count="2">
          <reference field="0" count="0" selected="0"/>
          <reference field="2" count="1">
            <x v="155"/>
          </reference>
        </references>
      </pivotArea>
    </format>
    <format dxfId="1270">
      <pivotArea collapsedLevelsAreSubtotals="1" fieldPosition="0">
        <references count="2">
          <reference field="0" count="0" selected="0"/>
          <reference field="2" count="1">
            <x v="156"/>
          </reference>
        </references>
      </pivotArea>
    </format>
    <format dxfId="1269">
      <pivotArea collapsedLevelsAreSubtotals="1" fieldPosition="0">
        <references count="2">
          <reference field="0" count="0" selected="0"/>
          <reference field="2" count="1">
            <x v="157"/>
          </reference>
        </references>
      </pivotArea>
    </format>
    <format dxfId="1268">
      <pivotArea collapsedLevelsAreSubtotals="1" fieldPosition="0">
        <references count="2">
          <reference field="0" count="0" selected="0"/>
          <reference field="2" count="1">
            <x v="158"/>
          </reference>
        </references>
      </pivotArea>
    </format>
    <format dxfId="1267">
      <pivotArea collapsedLevelsAreSubtotals="1" fieldPosition="0">
        <references count="2">
          <reference field="0" count="0" selected="0"/>
          <reference field="2" count="1">
            <x v="159"/>
          </reference>
        </references>
      </pivotArea>
    </format>
    <format dxfId="1266">
      <pivotArea collapsedLevelsAreSubtotals="1" fieldPosition="0">
        <references count="2">
          <reference field="0" count="0" selected="0"/>
          <reference field="2" count="1">
            <x v="160"/>
          </reference>
        </references>
      </pivotArea>
    </format>
    <format dxfId="1265">
      <pivotArea collapsedLevelsAreSubtotals="1" fieldPosition="0">
        <references count="2">
          <reference field="0" count="0" selected="0"/>
          <reference field="2" count="1">
            <x v="161"/>
          </reference>
        </references>
      </pivotArea>
    </format>
    <format dxfId="1264">
      <pivotArea collapsedLevelsAreSubtotals="1" fieldPosition="0">
        <references count="2">
          <reference field="0" count="0" selected="0"/>
          <reference field="2" count="1">
            <x v="162"/>
          </reference>
        </references>
      </pivotArea>
    </format>
    <format dxfId="1263">
      <pivotArea collapsedLevelsAreSubtotals="1" fieldPosition="0">
        <references count="2">
          <reference field="0" count="0" selected="0"/>
          <reference field="2" count="1">
            <x v="163"/>
          </reference>
        </references>
      </pivotArea>
    </format>
    <format dxfId="1262">
      <pivotArea collapsedLevelsAreSubtotals="1" fieldPosition="0">
        <references count="2">
          <reference field="0" count="0" selected="0"/>
          <reference field="2" count="1">
            <x v="164"/>
          </reference>
        </references>
      </pivotArea>
    </format>
    <format dxfId="1261">
      <pivotArea collapsedLevelsAreSubtotals="1" fieldPosition="0">
        <references count="2">
          <reference field="0" count="0" selected="0"/>
          <reference field="2" count="1">
            <x v="165"/>
          </reference>
        </references>
      </pivotArea>
    </format>
    <format dxfId="1260">
      <pivotArea collapsedLevelsAreSubtotals="1" fieldPosition="0">
        <references count="2">
          <reference field="0" count="0" selected="0"/>
          <reference field="2" count="1">
            <x v="166"/>
          </reference>
        </references>
      </pivotArea>
    </format>
    <format dxfId="1259">
      <pivotArea collapsedLevelsAreSubtotals="1" fieldPosition="0">
        <references count="2">
          <reference field="0" count="0" selected="0"/>
          <reference field="2" count="1">
            <x v="167"/>
          </reference>
        </references>
      </pivotArea>
    </format>
    <format dxfId="1258">
      <pivotArea collapsedLevelsAreSubtotals="1" fieldPosition="0">
        <references count="2">
          <reference field="0" count="0" selected="0"/>
          <reference field="2" count="1">
            <x v="168"/>
          </reference>
        </references>
      </pivotArea>
    </format>
    <format dxfId="1257">
      <pivotArea collapsedLevelsAreSubtotals="1" fieldPosition="0">
        <references count="2">
          <reference field="0" count="0" selected="0"/>
          <reference field="2" count="1">
            <x v="169"/>
          </reference>
        </references>
      </pivotArea>
    </format>
    <format dxfId="1256">
      <pivotArea collapsedLevelsAreSubtotals="1" fieldPosition="0">
        <references count="2">
          <reference field="0" count="0" selected="0"/>
          <reference field="2" count="1">
            <x v="170"/>
          </reference>
        </references>
      </pivotArea>
    </format>
    <format dxfId="1255">
      <pivotArea collapsedLevelsAreSubtotals="1" fieldPosition="0">
        <references count="2">
          <reference field="0" count="0" selected="0"/>
          <reference field="2" count="1">
            <x v="171"/>
          </reference>
        </references>
      </pivotArea>
    </format>
    <format dxfId="1254">
      <pivotArea collapsedLevelsAreSubtotals="1" fieldPosition="0">
        <references count="2">
          <reference field="0" count="0" selected="0"/>
          <reference field="2" count="1">
            <x v="172"/>
          </reference>
        </references>
      </pivotArea>
    </format>
    <format dxfId="1253">
      <pivotArea collapsedLevelsAreSubtotals="1" fieldPosition="0">
        <references count="2">
          <reference field="0" count="0" selected="0"/>
          <reference field="2" count="1">
            <x v="173"/>
          </reference>
        </references>
      </pivotArea>
    </format>
    <format dxfId="1252">
      <pivotArea collapsedLevelsAreSubtotals="1" fieldPosition="0">
        <references count="2">
          <reference field="0" count="0" selected="0"/>
          <reference field="2" count="1">
            <x v="174"/>
          </reference>
        </references>
      </pivotArea>
    </format>
    <format dxfId="1251">
      <pivotArea collapsedLevelsAreSubtotals="1" fieldPosition="0">
        <references count="2">
          <reference field="0" count="0" selected="0"/>
          <reference field="2" count="1">
            <x v="175"/>
          </reference>
        </references>
      </pivotArea>
    </format>
    <format dxfId="1250">
      <pivotArea collapsedLevelsAreSubtotals="1" fieldPosition="0">
        <references count="2">
          <reference field="0" count="0" selected="0"/>
          <reference field="2" count="1">
            <x v="176"/>
          </reference>
        </references>
      </pivotArea>
    </format>
    <format dxfId="1249">
      <pivotArea collapsedLevelsAreSubtotals="1" fieldPosition="0">
        <references count="2">
          <reference field="0" count="0" selected="0"/>
          <reference field="2" count="1">
            <x v="177"/>
          </reference>
        </references>
      </pivotArea>
    </format>
    <format dxfId="1248">
      <pivotArea collapsedLevelsAreSubtotals="1" fieldPosition="0">
        <references count="2">
          <reference field="0" count="0" selected="0"/>
          <reference field="2" count="1">
            <x v="178"/>
          </reference>
        </references>
      </pivotArea>
    </format>
    <format dxfId="1247">
      <pivotArea collapsedLevelsAreSubtotals="1" fieldPosition="0">
        <references count="2">
          <reference field="0" count="0" selected="0"/>
          <reference field="2" count="1">
            <x v="179"/>
          </reference>
        </references>
      </pivotArea>
    </format>
    <format dxfId="1246">
      <pivotArea collapsedLevelsAreSubtotals="1" fieldPosition="0">
        <references count="2">
          <reference field="0" count="0" selected="0"/>
          <reference field="2" count="1">
            <x v="180"/>
          </reference>
        </references>
      </pivotArea>
    </format>
    <format dxfId="1245">
      <pivotArea collapsedLevelsAreSubtotals="1" fieldPosition="0">
        <references count="2">
          <reference field="0" count="0" selected="0"/>
          <reference field="2" count="1">
            <x v="303"/>
          </reference>
        </references>
      </pivotArea>
    </format>
    <format dxfId="1244">
      <pivotArea collapsedLevelsAreSubtotals="1" fieldPosition="0">
        <references count="2">
          <reference field="0" count="0" selected="0"/>
          <reference field="2" count="1">
            <x v="304"/>
          </reference>
        </references>
      </pivotArea>
    </format>
    <format dxfId="1243">
      <pivotArea collapsedLevelsAreSubtotals="1" fieldPosition="0">
        <references count="2">
          <reference field="0" count="0" selected="0"/>
          <reference field="2" count="1">
            <x v="305"/>
          </reference>
        </references>
      </pivotArea>
    </format>
    <format dxfId="1242">
      <pivotArea collapsedLevelsAreSubtotals="1" fieldPosition="0">
        <references count="2">
          <reference field="0" count="0" selected="0"/>
          <reference field="2" count="1">
            <x v="306"/>
          </reference>
        </references>
      </pivotArea>
    </format>
    <format dxfId="1241">
      <pivotArea collapsedLevelsAreSubtotals="1" fieldPosition="0">
        <references count="2">
          <reference field="0" count="0" selected="0"/>
          <reference field="2" count="1">
            <x v="307"/>
          </reference>
        </references>
      </pivotArea>
    </format>
    <format dxfId="1240">
      <pivotArea collapsedLevelsAreSubtotals="1" fieldPosition="0">
        <references count="2">
          <reference field="0" count="0" selected="0"/>
          <reference field="2" count="1">
            <x v="308"/>
          </reference>
        </references>
      </pivotArea>
    </format>
    <format dxfId="1239">
      <pivotArea collapsedLevelsAreSubtotals="1" fieldPosition="0">
        <references count="2">
          <reference field="0" count="0" selected="0"/>
          <reference field="2" count="1">
            <x v="309"/>
          </reference>
        </references>
      </pivotArea>
    </format>
    <format dxfId="1238">
      <pivotArea collapsedLevelsAreSubtotals="1" fieldPosition="0">
        <references count="2">
          <reference field="0" count="0" selected="0"/>
          <reference field="2" count="1">
            <x v="310"/>
          </reference>
        </references>
      </pivotArea>
    </format>
    <format dxfId="1237">
      <pivotArea collapsedLevelsAreSubtotals="1" fieldPosition="0">
        <references count="2">
          <reference field="0" count="0" selected="0"/>
          <reference field="2" count="1">
            <x v="311"/>
          </reference>
        </references>
      </pivotArea>
    </format>
    <format dxfId="1236">
      <pivotArea collapsedLevelsAreSubtotals="1" fieldPosition="0">
        <references count="2">
          <reference field="0" count="0" selected="0"/>
          <reference field="2" count="1">
            <x v="312"/>
          </reference>
        </references>
      </pivotArea>
    </format>
    <format dxfId="1235">
      <pivotArea collapsedLevelsAreSubtotals="1" fieldPosition="0">
        <references count="2">
          <reference field="0" count="0" selected="0"/>
          <reference field="2" count="1">
            <x v="313"/>
          </reference>
        </references>
      </pivotArea>
    </format>
    <format dxfId="1234">
      <pivotArea collapsedLevelsAreSubtotals="1" fieldPosition="0">
        <references count="2">
          <reference field="0" count="0" selected="0"/>
          <reference field="2" count="1">
            <x v="314"/>
          </reference>
        </references>
      </pivotArea>
    </format>
    <format dxfId="1233">
      <pivotArea collapsedLevelsAreSubtotals="1" fieldPosition="0">
        <references count="2">
          <reference field="0" count="0" selected="0"/>
          <reference field="2" count="1">
            <x v="315"/>
          </reference>
        </references>
      </pivotArea>
    </format>
    <format dxfId="1232">
      <pivotArea collapsedLevelsAreSubtotals="1" fieldPosition="0">
        <references count="2">
          <reference field="0" count="0" selected="0"/>
          <reference field="2" count="1">
            <x v="316"/>
          </reference>
        </references>
      </pivotArea>
    </format>
    <format dxfId="1231">
      <pivotArea collapsedLevelsAreSubtotals="1" fieldPosition="0">
        <references count="2">
          <reference field="0" count="0" selected="0"/>
          <reference field="2" count="1">
            <x v="317"/>
          </reference>
        </references>
      </pivotArea>
    </format>
    <format dxfId="1230">
      <pivotArea collapsedLevelsAreSubtotals="1" fieldPosition="0">
        <references count="2">
          <reference field="0" count="0" selected="0"/>
          <reference field="2" count="1">
            <x v="318"/>
          </reference>
        </references>
      </pivotArea>
    </format>
    <format dxfId="1229">
      <pivotArea collapsedLevelsAreSubtotals="1" fieldPosition="0">
        <references count="2">
          <reference field="0" count="0" selected="0"/>
          <reference field="2" count="1">
            <x v="319"/>
          </reference>
        </references>
      </pivotArea>
    </format>
    <format dxfId="1228">
      <pivotArea collapsedLevelsAreSubtotals="1" fieldPosition="0">
        <references count="2">
          <reference field="0" count="0" selected="0"/>
          <reference field="2" count="1">
            <x v="320"/>
          </reference>
        </references>
      </pivotArea>
    </format>
    <format dxfId="1227">
      <pivotArea collapsedLevelsAreSubtotals="1" fieldPosition="0">
        <references count="2">
          <reference field="0" count="0" selected="0"/>
          <reference field="2" count="1">
            <x v="321"/>
          </reference>
        </references>
      </pivotArea>
    </format>
    <format dxfId="1226">
      <pivotArea collapsedLevelsAreSubtotals="1" fieldPosition="0">
        <references count="2">
          <reference field="0" count="0" selected="0"/>
          <reference field="2" count="1">
            <x v="322"/>
          </reference>
        </references>
      </pivotArea>
    </format>
    <format dxfId="1225">
      <pivotArea collapsedLevelsAreSubtotals="1" fieldPosition="0">
        <references count="2">
          <reference field="0" count="0" selected="0"/>
          <reference field="2" count="1">
            <x v="323"/>
          </reference>
        </references>
      </pivotArea>
    </format>
    <format dxfId="1224">
      <pivotArea collapsedLevelsAreSubtotals="1" fieldPosition="0">
        <references count="2">
          <reference field="0" count="0" selected="0"/>
          <reference field="2" count="1">
            <x v="324"/>
          </reference>
        </references>
      </pivotArea>
    </format>
    <format dxfId="1223">
      <pivotArea collapsedLevelsAreSubtotals="1" fieldPosition="0">
        <references count="2">
          <reference field="0" count="0" selected="0"/>
          <reference field="2" count="1">
            <x v="325"/>
          </reference>
        </references>
      </pivotArea>
    </format>
    <format dxfId="1222">
      <pivotArea collapsedLevelsAreSubtotals="1" fieldPosition="0">
        <references count="2">
          <reference field="0" count="0" selected="0"/>
          <reference field="2" count="1">
            <x v="326"/>
          </reference>
        </references>
      </pivotArea>
    </format>
    <format dxfId="1221">
      <pivotArea collapsedLevelsAreSubtotals="1" fieldPosition="0">
        <references count="2">
          <reference field="0" count="0" selected="0"/>
          <reference field="2" count="1">
            <x v="327"/>
          </reference>
        </references>
      </pivotArea>
    </format>
    <format dxfId="1220">
      <pivotArea collapsedLevelsAreSubtotals="1" fieldPosition="0">
        <references count="2">
          <reference field="0" count="0" selected="0"/>
          <reference field="2" count="1">
            <x v="328"/>
          </reference>
        </references>
      </pivotArea>
    </format>
    <format dxfId="1219">
      <pivotArea collapsedLevelsAreSubtotals="1" fieldPosition="0">
        <references count="2">
          <reference field="0" count="0" selected="0"/>
          <reference field="2" count="1">
            <x v="329"/>
          </reference>
        </references>
      </pivotArea>
    </format>
    <format dxfId="1218">
      <pivotArea collapsedLevelsAreSubtotals="1" fieldPosition="0">
        <references count="2">
          <reference field="0" count="0" selected="0"/>
          <reference field="2" count="1">
            <x v="330"/>
          </reference>
        </references>
      </pivotArea>
    </format>
    <format dxfId="1217">
      <pivotArea collapsedLevelsAreSubtotals="1" fieldPosition="0">
        <references count="2">
          <reference field="0" count="0" selected="0"/>
          <reference field="2" count="1">
            <x v="331"/>
          </reference>
        </references>
      </pivotArea>
    </format>
    <format dxfId="1216">
      <pivotArea collapsedLevelsAreSubtotals="1" fieldPosition="0">
        <references count="2">
          <reference field="0" count="0" selected="0"/>
          <reference field="2" count="1">
            <x v="332"/>
          </reference>
        </references>
      </pivotArea>
    </format>
    <format dxfId="1215">
      <pivotArea collapsedLevelsAreSubtotals="1" fieldPosition="0">
        <references count="2">
          <reference field="0" count="0" selected="0"/>
          <reference field="2" count="1">
            <x v="31"/>
          </reference>
        </references>
      </pivotArea>
    </format>
    <format dxfId="1214">
      <pivotArea collapsedLevelsAreSubtotals="1" fieldPosition="0">
        <references count="2">
          <reference field="0" count="0" selected="0"/>
          <reference field="2" count="1">
            <x v="32"/>
          </reference>
        </references>
      </pivotArea>
    </format>
    <format dxfId="1213">
      <pivotArea collapsedLevelsAreSubtotals="1" fieldPosition="0">
        <references count="2">
          <reference field="0" count="0" selected="0"/>
          <reference field="2" count="1">
            <x v="33"/>
          </reference>
        </references>
      </pivotArea>
    </format>
    <format dxfId="1212">
      <pivotArea collapsedLevelsAreSubtotals="1" fieldPosition="0">
        <references count="2">
          <reference field="0" count="0" selected="0"/>
          <reference field="2" count="1">
            <x v="34"/>
          </reference>
        </references>
      </pivotArea>
    </format>
    <format dxfId="1211">
      <pivotArea collapsedLevelsAreSubtotals="1" fieldPosition="0">
        <references count="2">
          <reference field="0" count="0" selected="0"/>
          <reference field="2" count="1">
            <x v="35"/>
          </reference>
        </references>
      </pivotArea>
    </format>
    <format dxfId="1210">
      <pivotArea collapsedLevelsAreSubtotals="1" fieldPosition="0">
        <references count="2">
          <reference field="0" count="0" selected="0"/>
          <reference field="2" count="1">
            <x v="36"/>
          </reference>
        </references>
      </pivotArea>
    </format>
    <format dxfId="1209">
      <pivotArea collapsedLevelsAreSubtotals="1" fieldPosition="0">
        <references count="2">
          <reference field="0" count="0" selected="0"/>
          <reference field="2" count="1">
            <x v="37"/>
          </reference>
        </references>
      </pivotArea>
    </format>
    <format dxfId="1208">
      <pivotArea collapsedLevelsAreSubtotals="1" fieldPosition="0">
        <references count="2">
          <reference field="0" count="0" selected="0"/>
          <reference field="2" count="1">
            <x v="38"/>
          </reference>
        </references>
      </pivotArea>
    </format>
    <format dxfId="1207">
      <pivotArea collapsedLevelsAreSubtotals="1" fieldPosition="0">
        <references count="2">
          <reference field="0" count="0" selected="0"/>
          <reference field="2" count="1">
            <x v="39"/>
          </reference>
        </references>
      </pivotArea>
    </format>
    <format dxfId="1206">
      <pivotArea collapsedLevelsAreSubtotals="1" fieldPosition="0">
        <references count="2">
          <reference field="0" count="0" selected="0"/>
          <reference field="2" count="1">
            <x v="40"/>
          </reference>
        </references>
      </pivotArea>
    </format>
    <format dxfId="1205">
      <pivotArea collapsedLevelsAreSubtotals="1" fieldPosition="0">
        <references count="2">
          <reference field="0" count="0" selected="0"/>
          <reference field="2" count="1">
            <x v="41"/>
          </reference>
        </references>
      </pivotArea>
    </format>
    <format dxfId="1204">
      <pivotArea collapsedLevelsAreSubtotals="1" fieldPosition="0">
        <references count="2">
          <reference field="0" count="0" selected="0"/>
          <reference field="2" count="1">
            <x v="42"/>
          </reference>
        </references>
      </pivotArea>
    </format>
    <format dxfId="1203">
      <pivotArea collapsedLevelsAreSubtotals="1" fieldPosition="0">
        <references count="2">
          <reference field="0" count="0" selected="0"/>
          <reference field="2" count="1">
            <x v="43"/>
          </reference>
        </references>
      </pivotArea>
    </format>
    <format dxfId="1202">
      <pivotArea collapsedLevelsAreSubtotals="1" fieldPosition="0">
        <references count="2">
          <reference field="0" count="0" selected="0"/>
          <reference field="2" count="1">
            <x v="44"/>
          </reference>
        </references>
      </pivotArea>
    </format>
    <format dxfId="1201">
      <pivotArea collapsedLevelsAreSubtotals="1" fieldPosition="0">
        <references count="2">
          <reference field="0" count="0" selected="0"/>
          <reference field="2" count="1">
            <x v="45"/>
          </reference>
        </references>
      </pivotArea>
    </format>
    <format dxfId="1200">
      <pivotArea collapsedLevelsAreSubtotals="1" fieldPosition="0">
        <references count="2">
          <reference field="0" count="0" selected="0"/>
          <reference field="2" count="1">
            <x v="46"/>
          </reference>
        </references>
      </pivotArea>
    </format>
    <format dxfId="1199">
      <pivotArea collapsedLevelsAreSubtotals="1" fieldPosition="0">
        <references count="2">
          <reference field="0" count="0" selected="0"/>
          <reference field="2" count="1">
            <x v="47"/>
          </reference>
        </references>
      </pivotArea>
    </format>
    <format dxfId="1198">
      <pivotArea collapsedLevelsAreSubtotals="1" fieldPosition="0">
        <references count="2">
          <reference field="0" count="0" selected="0"/>
          <reference field="2" count="1">
            <x v="48"/>
          </reference>
        </references>
      </pivotArea>
    </format>
    <format dxfId="1197">
      <pivotArea collapsedLevelsAreSubtotals="1" fieldPosition="0">
        <references count="2">
          <reference field="0" count="0" selected="0"/>
          <reference field="2" count="1">
            <x v="49"/>
          </reference>
        </references>
      </pivotArea>
    </format>
    <format dxfId="1196">
      <pivotArea collapsedLevelsAreSubtotals="1" fieldPosition="0">
        <references count="2">
          <reference field="0" count="0" selected="0"/>
          <reference field="2" count="1">
            <x v="50"/>
          </reference>
        </references>
      </pivotArea>
    </format>
    <format dxfId="1195">
      <pivotArea collapsedLevelsAreSubtotals="1" fieldPosition="0">
        <references count="2">
          <reference field="0" count="0" selected="0"/>
          <reference field="2" count="1">
            <x v="51"/>
          </reference>
        </references>
      </pivotArea>
    </format>
    <format dxfId="1194">
      <pivotArea collapsedLevelsAreSubtotals="1" fieldPosition="0">
        <references count="2">
          <reference field="0" count="0" selected="0"/>
          <reference field="2" count="1">
            <x v="52"/>
          </reference>
        </references>
      </pivotArea>
    </format>
    <format dxfId="1193">
      <pivotArea collapsedLevelsAreSubtotals="1" fieldPosition="0">
        <references count="2">
          <reference field="0" count="0" selected="0"/>
          <reference field="2" count="1">
            <x v="53"/>
          </reference>
        </references>
      </pivotArea>
    </format>
    <format dxfId="1192">
      <pivotArea collapsedLevelsAreSubtotals="1" fieldPosition="0">
        <references count="2">
          <reference field="0" count="0" selected="0"/>
          <reference field="2" count="1">
            <x v="54"/>
          </reference>
        </references>
      </pivotArea>
    </format>
    <format dxfId="1191">
      <pivotArea collapsedLevelsAreSubtotals="1" fieldPosition="0">
        <references count="2">
          <reference field="0" count="0" selected="0"/>
          <reference field="2" count="1">
            <x v="55"/>
          </reference>
        </references>
      </pivotArea>
    </format>
    <format dxfId="1190">
      <pivotArea collapsedLevelsAreSubtotals="1" fieldPosition="0">
        <references count="2">
          <reference field="0" count="0" selected="0"/>
          <reference field="2" count="1">
            <x v="56"/>
          </reference>
        </references>
      </pivotArea>
    </format>
    <format dxfId="1189">
      <pivotArea collapsedLevelsAreSubtotals="1" fieldPosition="0">
        <references count="2">
          <reference field="0" count="0" selected="0"/>
          <reference field="2" count="1">
            <x v="57"/>
          </reference>
        </references>
      </pivotArea>
    </format>
    <format dxfId="1188">
      <pivotArea collapsedLevelsAreSubtotals="1" fieldPosition="0">
        <references count="2">
          <reference field="0" count="0" selected="0"/>
          <reference field="2" count="1">
            <x v="58"/>
          </reference>
        </references>
      </pivotArea>
    </format>
    <format dxfId="1187">
      <pivotArea collapsedLevelsAreSubtotals="1" fieldPosition="0">
        <references count="2">
          <reference field="0" count="0" selected="0"/>
          <reference field="2" count="1">
            <x v="59"/>
          </reference>
        </references>
      </pivotArea>
    </format>
    <format dxfId="1186">
      <pivotArea collapsedLevelsAreSubtotals="1" fieldPosition="0">
        <references count="2">
          <reference field="0" count="0" selected="0"/>
          <reference field="2" count="1">
            <x v="60"/>
          </reference>
        </references>
      </pivotArea>
    </format>
    <format dxfId="1185">
      <pivotArea collapsedLevelsAreSubtotals="1" fieldPosition="0">
        <references count="2">
          <reference field="0" count="0" selected="0"/>
          <reference field="2" count="1">
            <x v="61"/>
          </reference>
        </references>
      </pivotArea>
    </format>
    <format dxfId="1184">
      <pivotArea collapsedLevelsAreSubtotals="1" fieldPosition="0">
        <references count="2">
          <reference field="0" count="0" selected="0"/>
          <reference field="2" count="1">
            <x v="333"/>
          </reference>
        </references>
      </pivotArea>
    </format>
    <format dxfId="1183">
      <pivotArea collapsedLevelsAreSubtotals="1" fieldPosition="0">
        <references count="2">
          <reference field="0" count="0" selected="0"/>
          <reference field="2" count="1">
            <x v="334"/>
          </reference>
        </references>
      </pivotArea>
    </format>
    <format dxfId="1182">
      <pivotArea collapsedLevelsAreSubtotals="1" fieldPosition="0">
        <references count="2">
          <reference field="0" count="0" selected="0"/>
          <reference field="2" count="1">
            <x v="335"/>
          </reference>
        </references>
      </pivotArea>
    </format>
    <format dxfId="1181">
      <pivotArea collapsedLevelsAreSubtotals="1" fieldPosition="0">
        <references count="2">
          <reference field="0" count="0" selected="0"/>
          <reference field="2" count="1">
            <x v="336"/>
          </reference>
        </references>
      </pivotArea>
    </format>
    <format dxfId="1180">
      <pivotArea collapsedLevelsAreSubtotals="1" fieldPosition="0">
        <references count="2">
          <reference field="0" count="0" selected="0"/>
          <reference field="2" count="1">
            <x v="337"/>
          </reference>
        </references>
      </pivotArea>
    </format>
    <format dxfId="1179">
      <pivotArea collapsedLevelsAreSubtotals="1" fieldPosition="0">
        <references count="2">
          <reference field="0" count="0" selected="0"/>
          <reference field="2" count="1">
            <x v="338"/>
          </reference>
        </references>
      </pivotArea>
    </format>
    <format dxfId="1178">
      <pivotArea collapsedLevelsAreSubtotals="1" fieldPosition="0">
        <references count="2">
          <reference field="0" count="0" selected="0"/>
          <reference field="2" count="1">
            <x v="339"/>
          </reference>
        </references>
      </pivotArea>
    </format>
    <format dxfId="1177">
      <pivotArea collapsedLevelsAreSubtotals="1" fieldPosition="0">
        <references count="2">
          <reference field="0" count="0" selected="0"/>
          <reference field="2" count="1">
            <x v="340"/>
          </reference>
        </references>
      </pivotArea>
    </format>
    <format dxfId="1176">
      <pivotArea collapsedLevelsAreSubtotals="1" fieldPosition="0">
        <references count="2">
          <reference field="0" count="0" selected="0"/>
          <reference field="2" count="1">
            <x v="341"/>
          </reference>
        </references>
      </pivotArea>
    </format>
    <format dxfId="1175">
      <pivotArea collapsedLevelsAreSubtotals="1" fieldPosition="0">
        <references count="2">
          <reference field="0" count="0" selected="0"/>
          <reference field="2" count="1">
            <x v="342"/>
          </reference>
        </references>
      </pivotArea>
    </format>
    <format dxfId="1174">
      <pivotArea collapsedLevelsAreSubtotals="1" fieldPosition="0">
        <references count="2">
          <reference field="0" count="0" selected="0"/>
          <reference field="2" count="1">
            <x v="343"/>
          </reference>
        </references>
      </pivotArea>
    </format>
    <format dxfId="1173">
      <pivotArea collapsedLevelsAreSubtotals="1" fieldPosition="0">
        <references count="2">
          <reference field="0" count="0" selected="0"/>
          <reference field="2" count="1">
            <x v="344"/>
          </reference>
        </references>
      </pivotArea>
    </format>
    <format dxfId="1172">
      <pivotArea collapsedLevelsAreSubtotals="1" fieldPosition="0">
        <references count="2">
          <reference field="0" count="0" selected="0"/>
          <reference field="2" count="1">
            <x v="345"/>
          </reference>
        </references>
      </pivotArea>
    </format>
    <format dxfId="1171">
      <pivotArea collapsedLevelsAreSubtotals="1" fieldPosition="0">
        <references count="2">
          <reference field="0" count="0" selected="0"/>
          <reference field="2" count="1">
            <x v="346"/>
          </reference>
        </references>
      </pivotArea>
    </format>
    <format dxfId="1170">
      <pivotArea collapsedLevelsAreSubtotals="1" fieldPosition="0">
        <references count="2">
          <reference field="0" count="0" selected="0"/>
          <reference field="2" count="1">
            <x v="347"/>
          </reference>
        </references>
      </pivotArea>
    </format>
    <format dxfId="1169">
      <pivotArea collapsedLevelsAreSubtotals="1" fieldPosition="0">
        <references count="2">
          <reference field="0" count="0" selected="0"/>
          <reference field="2" count="1">
            <x v="348"/>
          </reference>
        </references>
      </pivotArea>
    </format>
    <format dxfId="1168">
      <pivotArea collapsedLevelsAreSubtotals="1" fieldPosition="0">
        <references count="2">
          <reference field="0" count="0" selected="0"/>
          <reference field="2" count="1">
            <x v="349"/>
          </reference>
        </references>
      </pivotArea>
    </format>
    <format dxfId="1167">
      <pivotArea collapsedLevelsAreSubtotals="1" fieldPosition="0">
        <references count="2">
          <reference field="0" count="0" selected="0"/>
          <reference field="2" count="1">
            <x v="350"/>
          </reference>
        </references>
      </pivotArea>
    </format>
    <format dxfId="1166">
      <pivotArea collapsedLevelsAreSubtotals="1" fieldPosition="0">
        <references count="2">
          <reference field="0" count="0" selected="0"/>
          <reference field="2" count="1">
            <x v="351"/>
          </reference>
        </references>
      </pivotArea>
    </format>
    <format dxfId="1165">
      <pivotArea collapsedLevelsAreSubtotals="1" fieldPosition="0">
        <references count="2">
          <reference field="0" count="0" selected="0"/>
          <reference field="2" count="1">
            <x v="352"/>
          </reference>
        </references>
      </pivotArea>
    </format>
    <format dxfId="1164">
      <pivotArea collapsedLevelsAreSubtotals="1" fieldPosition="0">
        <references count="2">
          <reference field="0" count="0" selected="0"/>
          <reference field="2" count="1">
            <x v="353"/>
          </reference>
        </references>
      </pivotArea>
    </format>
    <format dxfId="1163">
      <pivotArea collapsedLevelsAreSubtotals="1" fieldPosition="0">
        <references count="2">
          <reference field="0" count="0" selected="0"/>
          <reference field="2" count="1">
            <x v="354"/>
          </reference>
        </references>
      </pivotArea>
    </format>
    <format dxfId="1162">
      <pivotArea collapsedLevelsAreSubtotals="1" fieldPosition="0">
        <references count="2">
          <reference field="0" count="0" selected="0"/>
          <reference field="2" count="1">
            <x v="355"/>
          </reference>
        </references>
      </pivotArea>
    </format>
    <format dxfId="1161">
      <pivotArea collapsedLevelsAreSubtotals="1" fieldPosition="0">
        <references count="2">
          <reference field="0" count="0" selected="0"/>
          <reference field="2" count="1">
            <x v="356"/>
          </reference>
        </references>
      </pivotArea>
    </format>
    <format dxfId="1160">
      <pivotArea collapsedLevelsAreSubtotals="1" fieldPosition="0">
        <references count="2">
          <reference field="0" count="0" selected="0"/>
          <reference field="2" count="1">
            <x v="357"/>
          </reference>
        </references>
      </pivotArea>
    </format>
    <format dxfId="1159">
      <pivotArea collapsedLevelsAreSubtotals="1" fieldPosition="0">
        <references count="2">
          <reference field="0" count="0" selected="0"/>
          <reference field="2" count="1">
            <x v="358"/>
          </reference>
        </references>
      </pivotArea>
    </format>
    <format dxfId="1158">
      <pivotArea collapsedLevelsAreSubtotals="1" fieldPosition="0">
        <references count="2">
          <reference field="0" count="0" selected="0"/>
          <reference field="2" count="1">
            <x v="359"/>
          </reference>
        </references>
      </pivotArea>
    </format>
    <format dxfId="1157">
      <pivotArea collapsedLevelsAreSubtotals="1" fieldPosition="0">
        <references count="2">
          <reference field="0" count="0" selected="0"/>
          <reference field="2" count="1">
            <x v="360"/>
          </reference>
        </references>
      </pivotArea>
    </format>
    <format dxfId="1156">
      <pivotArea collapsedLevelsAreSubtotals="1" fieldPosition="0">
        <references count="2">
          <reference field="0" count="0" selected="0"/>
          <reference field="2" count="1">
            <x v="361"/>
          </reference>
        </references>
      </pivotArea>
    </format>
    <format dxfId="1155">
      <pivotArea collapsedLevelsAreSubtotals="1" fieldPosition="0">
        <references count="2">
          <reference field="0" count="0" selected="0"/>
          <reference field="2" count="1">
            <x v="362"/>
          </reference>
        </references>
      </pivotArea>
    </format>
    <format dxfId="1154">
      <pivotArea collapsedLevelsAreSubtotals="1" fieldPosition="0">
        <references count="2">
          <reference field="0" count="0" selected="0"/>
          <reference field="2" count="1">
            <x v="274"/>
          </reference>
        </references>
      </pivotArea>
    </format>
    <format dxfId="1153">
      <pivotArea collapsedLevelsAreSubtotals="1" fieldPosition="0">
        <references count="2">
          <reference field="0" count="0" selected="0"/>
          <reference field="2" count="1">
            <x v="275"/>
          </reference>
        </references>
      </pivotArea>
    </format>
    <format dxfId="1152">
      <pivotArea collapsedLevelsAreSubtotals="1" fieldPosition="0">
        <references count="2">
          <reference field="0" count="0" selected="0"/>
          <reference field="2" count="1">
            <x v="276"/>
          </reference>
        </references>
      </pivotArea>
    </format>
    <format dxfId="1151">
      <pivotArea collapsedLevelsAreSubtotals="1" fieldPosition="0">
        <references count="2">
          <reference field="0" count="0" selected="0"/>
          <reference field="2" count="1">
            <x v="277"/>
          </reference>
        </references>
      </pivotArea>
    </format>
    <format dxfId="1150">
      <pivotArea collapsedLevelsAreSubtotals="1" fieldPosition="0">
        <references count="2">
          <reference field="0" count="0" selected="0"/>
          <reference field="2" count="1">
            <x v="278"/>
          </reference>
        </references>
      </pivotArea>
    </format>
    <format dxfId="1149">
      <pivotArea collapsedLevelsAreSubtotals="1" fieldPosition="0">
        <references count="2">
          <reference field="0" count="0" selected="0"/>
          <reference field="2" count="1">
            <x v="279"/>
          </reference>
        </references>
      </pivotArea>
    </format>
    <format dxfId="1148">
      <pivotArea collapsedLevelsAreSubtotals="1" fieldPosition="0">
        <references count="2">
          <reference field="0" count="0" selected="0"/>
          <reference field="2" count="1">
            <x v="363"/>
          </reference>
        </references>
      </pivotArea>
    </format>
    <format dxfId="1147">
      <pivotArea collapsedLevelsAreSubtotals="1" fieldPosition="0">
        <references count="2">
          <reference field="0" count="0" selected="0"/>
          <reference field="2" count="1">
            <x v="280"/>
          </reference>
        </references>
      </pivotArea>
    </format>
    <format dxfId="1146">
      <pivotArea collapsedLevelsAreSubtotals="1" fieldPosition="0">
        <references count="2">
          <reference field="0" count="0" selected="0"/>
          <reference field="2" count="1">
            <x v="281"/>
          </reference>
        </references>
      </pivotArea>
    </format>
    <format dxfId="1145">
      <pivotArea collapsedLevelsAreSubtotals="1" fieldPosition="0">
        <references count="2">
          <reference field="0" count="0" selected="0"/>
          <reference field="2" count="1">
            <x v="282"/>
          </reference>
        </references>
      </pivotArea>
    </format>
    <format dxfId="1144">
      <pivotArea collapsedLevelsAreSubtotals="1" fieldPosition="0">
        <references count="2">
          <reference field="0" count="0" selected="0"/>
          <reference field="2" count="1">
            <x v="283"/>
          </reference>
        </references>
      </pivotArea>
    </format>
    <format dxfId="1143">
      <pivotArea collapsedLevelsAreSubtotals="1" fieldPosition="0">
        <references count="2">
          <reference field="0" count="0" selected="0"/>
          <reference field="2" count="1">
            <x v="284"/>
          </reference>
        </references>
      </pivotArea>
    </format>
    <format dxfId="1142">
      <pivotArea collapsedLevelsAreSubtotals="1" fieldPosition="0">
        <references count="2">
          <reference field="0" count="0" selected="0"/>
          <reference field="2" count="1">
            <x v="285"/>
          </reference>
        </references>
      </pivotArea>
    </format>
    <format dxfId="1141">
      <pivotArea collapsedLevelsAreSubtotals="1" fieldPosition="0">
        <references count="2">
          <reference field="0" count="0" selected="0"/>
          <reference field="2" count="1">
            <x v="286"/>
          </reference>
        </references>
      </pivotArea>
    </format>
    <format dxfId="1140">
      <pivotArea collapsedLevelsAreSubtotals="1" fieldPosition="0">
        <references count="2">
          <reference field="0" count="0" selected="0"/>
          <reference field="2" count="1">
            <x v="287"/>
          </reference>
        </references>
      </pivotArea>
    </format>
    <format dxfId="1139">
      <pivotArea collapsedLevelsAreSubtotals="1" fieldPosition="0">
        <references count="2">
          <reference field="0" count="0" selected="0"/>
          <reference field="2" count="1">
            <x v="288"/>
          </reference>
        </references>
      </pivotArea>
    </format>
    <format dxfId="1138">
      <pivotArea collapsedLevelsAreSubtotals="1" fieldPosition="0">
        <references count="2">
          <reference field="0" count="0" selected="0"/>
          <reference field="2" count="1">
            <x v="289"/>
          </reference>
        </references>
      </pivotArea>
    </format>
    <format dxfId="1137">
      <pivotArea collapsedLevelsAreSubtotals="1" fieldPosition="0">
        <references count="2">
          <reference field="0" count="0" selected="0"/>
          <reference field="2" count="1">
            <x v="290"/>
          </reference>
        </references>
      </pivotArea>
    </format>
    <format dxfId="1136">
      <pivotArea collapsedLevelsAreSubtotals="1" fieldPosition="0">
        <references count="2">
          <reference field="0" count="0" selected="0"/>
          <reference field="2" count="1">
            <x v="291"/>
          </reference>
        </references>
      </pivotArea>
    </format>
    <format dxfId="1135">
      <pivotArea collapsedLevelsAreSubtotals="1" fieldPosition="0">
        <references count="2">
          <reference field="0" count="0" selected="0"/>
          <reference field="2" count="1">
            <x v="292"/>
          </reference>
        </references>
      </pivotArea>
    </format>
    <format dxfId="1134">
      <pivotArea collapsedLevelsAreSubtotals="1" fieldPosition="0">
        <references count="2">
          <reference field="0" count="0" selected="0"/>
          <reference field="2" count="1">
            <x v="293"/>
          </reference>
        </references>
      </pivotArea>
    </format>
    <format dxfId="1133">
      <pivotArea collapsedLevelsAreSubtotals="1" fieldPosition="0">
        <references count="2">
          <reference field="0" count="0" selected="0"/>
          <reference field="2" count="1">
            <x v="294"/>
          </reference>
        </references>
      </pivotArea>
    </format>
    <format dxfId="1132">
      <pivotArea collapsedLevelsAreSubtotals="1" fieldPosition="0">
        <references count="2">
          <reference field="0" count="0" selected="0"/>
          <reference field="2" count="1">
            <x v="295"/>
          </reference>
        </references>
      </pivotArea>
    </format>
    <format dxfId="1131">
      <pivotArea collapsedLevelsAreSubtotals="1" fieldPosition="0">
        <references count="2">
          <reference field="0" count="0" selected="0"/>
          <reference field="2" count="1">
            <x v="296"/>
          </reference>
        </references>
      </pivotArea>
    </format>
    <format dxfId="1130">
      <pivotArea collapsedLevelsAreSubtotals="1" fieldPosition="0">
        <references count="2">
          <reference field="0" count="0" selected="0"/>
          <reference field="2" count="1">
            <x v="297"/>
          </reference>
        </references>
      </pivotArea>
    </format>
    <format dxfId="1129">
      <pivotArea collapsedLevelsAreSubtotals="1" fieldPosition="0">
        <references count="2">
          <reference field="0" count="0" selected="0"/>
          <reference field="2" count="1">
            <x v="298"/>
          </reference>
        </references>
      </pivotArea>
    </format>
    <format dxfId="1128">
      <pivotArea collapsedLevelsAreSubtotals="1" fieldPosition="0">
        <references count="2">
          <reference field="0" count="0" selected="0"/>
          <reference field="2" count="1">
            <x v="299"/>
          </reference>
        </references>
      </pivotArea>
    </format>
    <format dxfId="1127">
      <pivotArea collapsedLevelsAreSubtotals="1" fieldPosition="0">
        <references count="2">
          <reference field="0" count="0" selected="0"/>
          <reference field="2" count="1">
            <x v="300"/>
          </reference>
        </references>
      </pivotArea>
    </format>
    <format dxfId="1126">
      <pivotArea collapsedLevelsAreSubtotals="1" fieldPosition="0">
        <references count="2">
          <reference field="0" count="0" selected="0"/>
          <reference field="2" count="1">
            <x v="301"/>
          </reference>
        </references>
      </pivotArea>
    </format>
    <format dxfId="1125">
      <pivotArea collapsedLevelsAreSubtotals="1" fieldPosition="0">
        <references count="2">
          <reference field="0" count="0" selected="0"/>
          <reference field="2" count="1">
            <x v="302"/>
          </reference>
        </references>
      </pivotArea>
    </format>
    <format dxfId="1124">
      <pivotArea collapsedLevelsAreSubtotals="1" fieldPosition="0">
        <references count="2">
          <reference field="0" count="0" selected="0"/>
          <reference field="2" count="1">
            <x v="364"/>
          </reference>
        </references>
      </pivotArea>
    </format>
  </formats>
  <chartFormats count="3">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Final]"/>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B4A94E2-8153-4F4B-8B88-1A2E92811A26}"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223917278">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EBB4795-7314-4AC6-8C20-5AAED40B117C}" sourceName="[Calender_Table].[Date (Year)]">
  <pivotTables>
    <pivotTable tabId="1" name="PivotTable12"/>
  </pivotTables>
  <data>
    <olap pivotCacheId="1223917278">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F8CB5C5-C8BC-4E88-8CC3-6461573F34AA}" cache="Slicer_Date__Month" caption="Date (Month)" showCaption="0" level="1" style="SlicerStyleDark6 2" rowHeight="252000"/>
  <slicer name="Date (Year)" xr10:uid="{344239E4-7F5E-4810-94E0-DCE8F1A44177}" cache="Slicer_Date__Year" caption="Date (Year)" columnCount="2" showCaption="0" level="1" style="SlicerStyleDark6 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BFD49-D35C-40AE-89F2-59A6DE9E09D8}">
  <dimension ref="A2:M57"/>
  <sheetViews>
    <sheetView topLeftCell="A11" zoomScale="120" zoomScaleNormal="120" workbookViewId="0">
      <selection activeCell="D29" sqref="D29"/>
    </sheetView>
  </sheetViews>
  <sheetFormatPr defaultRowHeight="14.4" x14ac:dyDescent="0.3"/>
  <cols>
    <col min="1" max="1" width="19.33203125" customWidth="1"/>
    <col min="2" max="2" width="19.88671875" customWidth="1"/>
    <col min="3" max="3" width="12.77734375" customWidth="1"/>
    <col min="4" max="4" width="19.109375" customWidth="1"/>
    <col min="5" max="6" width="24.33203125" bestFit="1" customWidth="1"/>
    <col min="9" max="9" width="12.5546875" bestFit="1" customWidth="1"/>
    <col min="10" max="10" width="24.33203125" bestFit="1" customWidth="1"/>
    <col min="12" max="12" width="12.5546875" bestFit="1" customWidth="1"/>
    <col min="13" max="13" width="32.5546875" bestFit="1" customWidth="1"/>
  </cols>
  <sheetData>
    <row r="2" spans="1:13" x14ac:dyDescent="0.3">
      <c r="A2" s="2" t="s">
        <v>1</v>
      </c>
      <c r="E2" s="23" t="s">
        <v>9</v>
      </c>
      <c r="F2" s="23"/>
      <c r="I2" s="2" t="s">
        <v>6</v>
      </c>
      <c r="L2" s="2" t="s">
        <v>8</v>
      </c>
    </row>
    <row r="3" spans="1:13" x14ac:dyDescent="0.3">
      <c r="A3" t="s">
        <v>0</v>
      </c>
      <c r="E3" s="6" t="s">
        <v>4</v>
      </c>
      <c r="F3" t="s">
        <v>0</v>
      </c>
      <c r="I3" s="6" t="s">
        <v>4</v>
      </c>
      <c r="J3" t="s">
        <v>2</v>
      </c>
      <c r="L3" s="6" t="s">
        <v>4</v>
      </c>
      <c r="M3" t="s">
        <v>3</v>
      </c>
    </row>
    <row r="4" spans="1:13" x14ac:dyDescent="0.3">
      <c r="A4" s="1">
        <v>952</v>
      </c>
      <c r="E4" s="7" t="s">
        <v>49</v>
      </c>
      <c r="F4" s="1"/>
      <c r="I4" s="7" t="s">
        <v>49</v>
      </c>
      <c r="J4" s="1"/>
      <c r="L4" s="7" t="s">
        <v>49</v>
      </c>
      <c r="M4" s="1"/>
    </row>
    <row r="5" spans="1:13" x14ac:dyDescent="0.3">
      <c r="E5" s="8" t="s">
        <v>50</v>
      </c>
      <c r="F5" s="1">
        <v>32</v>
      </c>
      <c r="I5" s="8" t="s">
        <v>50</v>
      </c>
      <c r="J5" s="3">
        <v>37.53125</v>
      </c>
      <c r="L5" s="8" t="s">
        <v>50</v>
      </c>
      <c r="M5" s="3">
        <v>3.7</v>
      </c>
    </row>
    <row r="6" spans="1:13" x14ac:dyDescent="0.3">
      <c r="E6" s="8" t="s">
        <v>51</v>
      </c>
      <c r="F6" s="1">
        <v>28</v>
      </c>
      <c r="I6" s="8" t="s">
        <v>51</v>
      </c>
      <c r="J6" s="3">
        <v>31.357142857142858</v>
      </c>
      <c r="L6" s="8" t="s">
        <v>51</v>
      </c>
      <c r="M6" s="3">
        <v>5.8</v>
      </c>
    </row>
    <row r="7" spans="1:13" x14ac:dyDescent="0.3">
      <c r="E7" s="8" t="s">
        <v>52</v>
      </c>
      <c r="F7" s="1">
        <v>28</v>
      </c>
      <c r="I7" s="8" t="s">
        <v>52</v>
      </c>
      <c r="J7" s="3">
        <v>35.285714285714285</v>
      </c>
      <c r="L7" s="8" t="s">
        <v>52</v>
      </c>
      <c r="M7" s="3">
        <v>4</v>
      </c>
    </row>
    <row r="8" spans="1:13" x14ac:dyDescent="0.3">
      <c r="E8" s="8" t="s">
        <v>53</v>
      </c>
      <c r="F8" s="1">
        <v>25</v>
      </c>
      <c r="I8" s="8" t="s">
        <v>53</v>
      </c>
      <c r="J8" s="3">
        <v>34</v>
      </c>
      <c r="L8" s="8" t="s">
        <v>53</v>
      </c>
      <c r="M8" s="3">
        <v>2</v>
      </c>
    </row>
    <row r="9" spans="1:13" x14ac:dyDescent="0.3">
      <c r="A9" t="s">
        <v>2</v>
      </c>
      <c r="E9" s="8" t="s">
        <v>54</v>
      </c>
      <c r="F9" s="1">
        <v>23</v>
      </c>
      <c r="I9" s="8" t="s">
        <v>54</v>
      </c>
      <c r="J9" s="3">
        <v>28.391304347826086</v>
      </c>
      <c r="L9" s="8" t="s">
        <v>54</v>
      </c>
      <c r="M9" s="3">
        <v>6</v>
      </c>
    </row>
    <row r="10" spans="1:13" x14ac:dyDescent="0.3">
      <c r="A10" s="3">
        <v>34.965336134453779</v>
      </c>
      <c r="E10" s="8" t="s">
        <v>55</v>
      </c>
      <c r="F10" s="1">
        <v>22</v>
      </c>
      <c r="I10" s="8" t="s">
        <v>55</v>
      </c>
      <c r="J10" s="3">
        <v>36.545454545454547</v>
      </c>
      <c r="L10" s="8" t="s">
        <v>55</v>
      </c>
      <c r="M10" s="3">
        <v>5</v>
      </c>
    </row>
    <row r="11" spans="1:13" x14ac:dyDescent="0.3">
      <c r="E11" s="8" t="s">
        <v>56</v>
      </c>
      <c r="F11" s="1">
        <v>33</v>
      </c>
      <c r="I11" s="8" t="s">
        <v>56</v>
      </c>
      <c r="J11" s="3">
        <v>33.939393939393938</v>
      </c>
      <c r="L11" s="8" t="s">
        <v>56</v>
      </c>
      <c r="M11" s="3">
        <v>5.1111111111111107</v>
      </c>
    </row>
    <row r="12" spans="1:13" x14ac:dyDescent="0.3">
      <c r="E12" s="8" t="s">
        <v>57</v>
      </c>
      <c r="F12" s="1">
        <v>31</v>
      </c>
      <c r="I12" s="8" t="s">
        <v>57</v>
      </c>
      <c r="J12" s="3">
        <v>38.516129032258064</v>
      </c>
      <c r="L12" s="8" t="s">
        <v>57</v>
      </c>
      <c r="M12" s="3">
        <v>3.8571428571428572</v>
      </c>
    </row>
    <row r="13" spans="1:13" x14ac:dyDescent="0.3">
      <c r="E13" s="8" t="s">
        <v>58</v>
      </c>
      <c r="F13" s="1">
        <v>35</v>
      </c>
      <c r="I13" s="8" t="s">
        <v>58</v>
      </c>
      <c r="J13" s="3">
        <v>34.74285714285714</v>
      </c>
      <c r="L13" s="8" t="s">
        <v>58</v>
      </c>
      <c r="M13" s="3">
        <v>6.5714285714285712</v>
      </c>
    </row>
    <row r="14" spans="1:13" x14ac:dyDescent="0.3">
      <c r="A14" t="s">
        <v>3</v>
      </c>
      <c r="E14" s="8" t="s">
        <v>59</v>
      </c>
      <c r="F14" s="1">
        <v>30</v>
      </c>
      <c r="I14" s="8" t="s">
        <v>59</v>
      </c>
      <c r="J14" s="3">
        <v>34.5</v>
      </c>
      <c r="L14" s="8" t="s">
        <v>59</v>
      </c>
      <c r="M14" s="3">
        <v>5.2857142857142856</v>
      </c>
    </row>
    <row r="15" spans="1:13" x14ac:dyDescent="0.3">
      <c r="A15" s="3">
        <v>4.8773946360153255</v>
      </c>
      <c r="E15" s="8" t="s">
        <v>60</v>
      </c>
      <c r="F15" s="1">
        <v>32</v>
      </c>
      <c r="I15" s="8" t="s">
        <v>60</v>
      </c>
      <c r="J15" s="3">
        <v>31.65625</v>
      </c>
      <c r="L15" s="8" t="s">
        <v>60</v>
      </c>
      <c r="M15" s="3">
        <v>5.5</v>
      </c>
    </row>
    <row r="16" spans="1:13" x14ac:dyDescent="0.3">
      <c r="E16" s="8" t="s">
        <v>61</v>
      </c>
      <c r="F16" s="1">
        <v>39</v>
      </c>
      <c r="I16" s="8" t="s">
        <v>61</v>
      </c>
      <c r="J16" s="3">
        <v>37.384615384615387</v>
      </c>
      <c r="L16" s="8" t="s">
        <v>61</v>
      </c>
      <c r="M16" s="3">
        <v>4.8181818181818183</v>
      </c>
    </row>
    <row r="17" spans="1:13" x14ac:dyDescent="0.3">
      <c r="E17" s="8" t="s">
        <v>62</v>
      </c>
      <c r="F17" s="1">
        <v>39</v>
      </c>
      <c r="I17" s="8" t="s">
        <v>62</v>
      </c>
      <c r="J17" s="3">
        <v>36.205128205128204</v>
      </c>
      <c r="L17" s="8" t="s">
        <v>62</v>
      </c>
      <c r="M17" s="3">
        <v>5</v>
      </c>
    </row>
    <row r="18" spans="1:13" x14ac:dyDescent="0.3">
      <c r="A18" s="6" t="s">
        <v>4</v>
      </c>
      <c r="B18" s="21" t="s">
        <v>14</v>
      </c>
      <c r="C18" s="21" t="s">
        <v>15</v>
      </c>
      <c r="E18" s="8" t="s">
        <v>63</v>
      </c>
      <c r="F18" s="1">
        <v>30</v>
      </c>
      <c r="I18" s="8" t="s">
        <v>63</v>
      </c>
      <c r="J18" s="3">
        <v>35.6</v>
      </c>
      <c r="L18" s="8" t="s">
        <v>63</v>
      </c>
      <c r="M18" s="3">
        <v>3.2222222222222223</v>
      </c>
    </row>
    <row r="19" spans="1:13" x14ac:dyDescent="0.3">
      <c r="A19" s="7" t="s">
        <v>12</v>
      </c>
      <c r="B19" s="11">
        <v>502</v>
      </c>
      <c r="C19" s="12">
        <v>0.52731092436974791</v>
      </c>
      <c r="E19" s="8" t="s">
        <v>64</v>
      </c>
      <c r="F19" s="1">
        <v>29</v>
      </c>
      <c r="I19" s="8" t="s">
        <v>64</v>
      </c>
      <c r="J19" s="3">
        <v>31.068965517241381</v>
      </c>
      <c r="L19" s="8" t="s">
        <v>64</v>
      </c>
      <c r="M19" s="3">
        <v>6.333333333333333</v>
      </c>
    </row>
    <row r="20" spans="1:13" x14ac:dyDescent="0.3">
      <c r="A20" s="7" t="s">
        <v>13</v>
      </c>
      <c r="B20" s="11">
        <v>450</v>
      </c>
      <c r="C20" s="12">
        <v>0.47268907563025209</v>
      </c>
      <c r="E20" s="8" t="s">
        <v>65</v>
      </c>
      <c r="F20" s="1">
        <v>34</v>
      </c>
      <c r="I20" s="8" t="s">
        <v>65</v>
      </c>
      <c r="J20" s="3">
        <v>33</v>
      </c>
      <c r="L20" s="8" t="s">
        <v>65</v>
      </c>
      <c r="M20" s="3">
        <v>3.8</v>
      </c>
    </row>
    <row r="21" spans="1:13" x14ac:dyDescent="0.3">
      <c r="A21" s="7" t="s">
        <v>5</v>
      </c>
      <c r="B21" s="3">
        <v>952</v>
      </c>
      <c r="C21" s="12">
        <v>1</v>
      </c>
      <c r="E21" s="8" t="s">
        <v>66</v>
      </c>
      <c r="F21" s="1">
        <v>30</v>
      </c>
      <c r="I21" s="8" t="s">
        <v>66</v>
      </c>
      <c r="J21" s="3">
        <v>36.233333333333334</v>
      </c>
      <c r="L21" s="8" t="s">
        <v>66</v>
      </c>
      <c r="M21" s="3">
        <v>3.1111111111111112</v>
      </c>
    </row>
    <row r="22" spans="1:13" x14ac:dyDescent="0.3">
      <c r="E22" s="8" t="s">
        <v>67</v>
      </c>
      <c r="F22" s="1">
        <v>28</v>
      </c>
      <c r="I22" s="8" t="s">
        <v>67</v>
      </c>
      <c r="J22" s="3">
        <v>37.142857142857146</v>
      </c>
      <c r="L22" s="8" t="s">
        <v>67</v>
      </c>
      <c r="M22" s="3">
        <v>2.8333333333333335</v>
      </c>
    </row>
    <row r="23" spans="1:13" x14ac:dyDescent="0.3">
      <c r="E23" s="8" t="s">
        <v>68</v>
      </c>
      <c r="F23" s="1">
        <v>33</v>
      </c>
      <c r="I23" s="8" t="s">
        <v>68</v>
      </c>
      <c r="J23" s="3">
        <v>34.666666666666664</v>
      </c>
      <c r="L23" s="8" t="s">
        <v>68</v>
      </c>
      <c r="M23" s="3">
        <v>6.625</v>
      </c>
    </row>
    <row r="24" spans="1:13" x14ac:dyDescent="0.3">
      <c r="A24" s="15" t="s">
        <v>16</v>
      </c>
      <c r="B24" s="16" t="s">
        <v>19</v>
      </c>
      <c r="C24" s="16" t="s">
        <v>17</v>
      </c>
      <c r="D24" s="16" t="s">
        <v>18</v>
      </c>
      <c r="E24" s="8" t="s">
        <v>69</v>
      </c>
      <c r="F24" s="1">
        <v>30</v>
      </c>
      <c r="I24" s="8" t="s">
        <v>69</v>
      </c>
      <c r="J24" s="3">
        <v>36.033333333333331</v>
      </c>
      <c r="L24" s="8" t="s">
        <v>69</v>
      </c>
      <c r="M24" s="3">
        <v>3.5</v>
      </c>
    </row>
    <row r="25" spans="1:13" x14ac:dyDescent="0.3">
      <c r="A25" s="17" t="str">
        <f>A20</f>
        <v>Not Admitted</v>
      </c>
      <c r="B25" s="18">
        <f t="shared" ref="B25:C25" si="0">B20</f>
        <v>450</v>
      </c>
      <c r="C25" s="19">
        <f t="shared" si="0"/>
        <v>0.47268907563025209</v>
      </c>
      <c r="D25" s="20"/>
      <c r="E25" s="8" t="s">
        <v>70</v>
      </c>
      <c r="F25" s="1">
        <v>31</v>
      </c>
      <c r="I25" s="8" t="s">
        <v>70</v>
      </c>
      <c r="J25" s="3">
        <v>33.838709677419352</v>
      </c>
      <c r="L25" s="8" t="s">
        <v>70</v>
      </c>
      <c r="M25" s="3">
        <v>5.166666666666667</v>
      </c>
    </row>
    <row r="26" spans="1:13" x14ac:dyDescent="0.3">
      <c r="A26" s="18" t="str">
        <f>A19</f>
        <v>Admitted</v>
      </c>
      <c r="B26" s="18">
        <f>B19</f>
        <v>502</v>
      </c>
      <c r="C26" s="19">
        <f>C19</f>
        <v>0.52731092436974791</v>
      </c>
      <c r="D26" s="20"/>
      <c r="E26" s="8" t="s">
        <v>71</v>
      </c>
      <c r="F26" s="1">
        <v>27</v>
      </c>
      <c r="I26" s="8" t="s">
        <v>71</v>
      </c>
      <c r="J26" s="3">
        <v>34.592592592592595</v>
      </c>
      <c r="L26" s="8" t="s">
        <v>71</v>
      </c>
      <c r="M26" s="3">
        <v>5.333333333333333</v>
      </c>
    </row>
    <row r="27" spans="1:13" x14ac:dyDescent="0.3">
      <c r="E27" s="8" t="s">
        <v>72</v>
      </c>
      <c r="F27" s="1">
        <v>32</v>
      </c>
      <c r="I27" s="8" t="s">
        <v>72</v>
      </c>
      <c r="J27" s="3">
        <v>34.4375</v>
      </c>
      <c r="L27" s="8" t="s">
        <v>72</v>
      </c>
      <c r="M27" s="3">
        <v>4.875</v>
      </c>
    </row>
    <row r="28" spans="1:13" x14ac:dyDescent="0.3">
      <c r="E28" s="8" t="s">
        <v>73</v>
      </c>
      <c r="F28" s="1">
        <v>29</v>
      </c>
      <c r="I28" s="8" t="s">
        <v>73</v>
      </c>
      <c r="J28" s="3">
        <v>36.172413793103445</v>
      </c>
      <c r="L28" s="8" t="s">
        <v>73</v>
      </c>
      <c r="M28" s="3">
        <v>4.5</v>
      </c>
    </row>
    <row r="29" spans="1:13" x14ac:dyDescent="0.3">
      <c r="A29" s="6" t="s">
        <v>4</v>
      </c>
      <c r="B29" t="s">
        <v>28</v>
      </c>
      <c r="E29" s="8" t="s">
        <v>74</v>
      </c>
      <c r="F29" s="1">
        <v>29</v>
      </c>
      <c r="I29" s="8" t="s">
        <v>74</v>
      </c>
      <c r="J29" s="3">
        <v>34.758620689655174</v>
      </c>
      <c r="L29" s="8" t="s">
        <v>74</v>
      </c>
      <c r="M29" s="3">
        <v>4.625</v>
      </c>
    </row>
    <row r="30" spans="1:13" x14ac:dyDescent="0.3">
      <c r="A30" s="7" t="s">
        <v>20</v>
      </c>
      <c r="B30" s="11">
        <v>123</v>
      </c>
      <c r="E30" s="8" t="s">
        <v>75</v>
      </c>
      <c r="F30" s="1">
        <v>29</v>
      </c>
      <c r="I30" s="8" t="s">
        <v>75</v>
      </c>
      <c r="J30" s="3">
        <v>37.241379310344826</v>
      </c>
      <c r="L30" s="8" t="s">
        <v>75</v>
      </c>
      <c r="M30" s="3">
        <v>5</v>
      </c>
    </row>
    <row r="31" spans="1:13" x14ac:dyDescent="0.3">
      <c r="A31" s="7" t="s">
        <v>21</v>
      </c>
      <c r="B31" s="11">
        <v>126</v>
      </c>
      <c r="E31" s="8" t="s">
        <v>76</v>
      </c>
      <c r="F31" s="1">
        <v>30</v>
      </c>
      <c r="I31" s="8" t="s">
        <v>76</v>
      </c>
      <c r="J31" s="3">
        <v>33.9</v>
      </c>
      <c r="L31" s="8" t="s">
        <v>76</v>
      </c>
      <c r="M31" s="3">
        <v>6.8181818181818183</v>
      </c>
    </row>
    <row r="32" spans="1:13" x14ac:dyDescent="0.3">
      <c r="A32" s="7" t="s">
        <v>22</v>
      </c>
      <c r="B32" s="11">
        <v>120</v>
      </c>
      <c r="E32" s="8" t="s">
        <v>77</v>
      </c>
      <c r="F32" s="1">
        <v>32</v>
      </c>
      <c r="I32" s="8" t="s">
        <v>77</v>
      </c>
      <c r="J32" s="3">
        <v>35.4375</v>
      </c>
      <c r="L32" s="8" t="s">
        <v>77</v>
      </c>
      <c r="M32" s="3">
        <v>6.375</v>
      </c>
    </row>
    <row r="33" spans="1:13" x14ac:dyDescent="0.3">
      <c r="A33" s="7" t="s">
        <v>23</v>
      </c>
      <c r="B33" s="11">
        <v>103</v>
      </c>
      <c r="E33" s="8" t="s">
        <v>78</v>
      </c>
      <c r="F33" s="1">
        <v>39</v>
      </c>
      <c r="I33" s="8" t="s">
        <v>78</v>
      </c>
      <c r="J33" s="3">
        <v>36.820512820512818</v>
      </c>
      <c r="L33" s="8" t="s">
        <v>78</v>
      </c>
      <c r="M33" s="3">
        <v>4.615384615384615</v>
      </c>
    </row>
    <row r="34" spans="1:13" x14ac:dyDescent="0.3">
      <c r="A34" s="7" t="s">
        <v>24</v>
      </c>
      <c r="B34" s="11">
        <v>135</v>
      </c>
      <c r="E34" s="8" t="s">
        <v>79</v>
      </c>
      <c r="F34" s="1">
        <v>32</v>
      </c>
      <c r="I34" s="8" t="s">
        <v>79</v>
      </c>
      <c r="J34" s="3">
        <v>31.3125</v>
      </c>
      <c r="L34" s="8" t="s">
        <v>79</v>
      </c>
      <c r="M34" s="3">
        <v>5.5454545454545459</v>
      </c>
    </row>
    <row r="35" spans="1:13" x14ac:dyDescent="0.3">
      <c r="A35" s="7" t="s">
        <v>25</v>
      </c>
      <c r="B35" s="11">
        <v>134</v>
      </c>
      <c r="E35" s="8" t="s">
        <v>80</v>
      </c>
      <c r="F35" s="1">
        <v>31</v>
      </c>
      <c r="I35" s="8" t="s">
        <v>80</v>
      </c>
      <c r="J35" s="3">
        <v>39.064516129032256</v>
      </c>
      <c r="L35" s="8" t="s">
        <v>80</v>
      </c>
      <c r="M35" s="3">
        <v>6.9090909090909092</v>
      </c>
    </row>
    <row r="36" spans="1:13" x14ac:dyDescent="0.3">
      <c r="A36" s="7" t="s">
        <v>26</v>
      </c>
      <c r="B36" s="11">
        <v>96</v>
      </c>
      <c r="E36" s="7" t="s">
        <v>5</v>
      </c>
      <c r="F36" s="1">
        <v>952</v>
      </c>
      <c r="I36" s="7" t="s">
        <v>5</v>
      </c>
      <c r="J36" s="1">
        <v>34.965336134453779</v>
      </c>
      <c r="L36" s="7" t="s">
        <v>5</v>
      </c>
      <c r="M36" s="1">
        <v>4.8773946360153255</v>
      </c>
    </row>
    <row r="37" spans="1:13" x14ac:dyDescent="0.3">
      <c r="A37" s="7" t="s">
        <v>27</v>
      </c>
      <c r="B37" s="11">
        <v>115</v>
      </c>
    </row>
    <row r="38" spans="1:13" x14ac:dyDescent="0.3">
      <c r="A38" s="7" t="s">
        <v>5</v>
      </c>
      <c r="B38" s="3">
        <v>952</v>
      </c>
    </row>
    <row r="41" spans="1:13" x14ac:dyDescent="0.3">
      <c r="A41" s="14" t="s">
        <v>32</v>
      </c>
      <c r="B41" s="14"/>
    </row>
    <row r="42" spans="1:13" x14ac:dyDescent="0.3">
      <c r="A42" s="6" t="s">
        <v>4</v>
      </c>
      <c r="B42" t="s">
        <v>31</v>
      </c>
    </row>
    <row r="43" spans="1:13" x14ac:dyDescent="0.3">
      <c r="A43" s="7" t="s">
        <v>29</v>
      </c>
      <c r="B43" s="11">
        <v>555</v>
      </c>
    </row>
    <row r="44" spans="1:13" x14ac:dyDescent="0.3">
      <c r="A44" s="7" t="s">
        <v>30</v>
      </c>
      <c r="B44" s="11">
        <v>397</v>
      </c>
    </row>
    <row r="45" spans="1:13" x14ac:dyDescent="0.3">
      <c r="A45" s="7" t="s">
        <v>5</v>
      </c>
      <c r="B45" s="3">
        <v>952</v>
      </c>
    </row>
    <row r="47" spans="1:13" x14ac:dyDescent="0.3">
      <c r="A47" s="7" t="s">
        <v>36</v>
      </c>
      <c r="D47" t="s">
        <v>46</v>
      </c>
    </row>
    <row r="48" spans="1:13" x14ac:dyDescent="0.3">
      <c r="A48" s="6" t="s">
        <v>4</v>
      </c>
      <c r="B48" t="s">
        <v>35</v>
      </c>
      <c r="D48" s="6" t="s">
        <v>4</v>
      </c>
      <c r="E48" t="s">
        <v>45</v>
      </c>
    </row>
    <row r="49" spans="1:5" x14ac:dyDescent="0.3">
      <c r="A49" s="7" t="s">
        <v>33</v>
      </c>
      <c r="B49" s="3">
        <v>460</v>
      </c>
      <c r="D49" s="7" t="s">
        <v>44</v>
      </c>
      <c r="E49" s="11">
        <v>7</v>
      </c>
    </row>
    <row r="50" spans="1:5" x14ac:dyDescent="0.3">
      <c r="A50" s="7" t="s">
        <v>34</v>
      </c>
      <c r="B50" s="3">
        <v>492</v>
      </c>
      <c r="D50" s="7" t="s">
        <v>40</v>
      </c>
      <c r="E50" s="11">
        <v>16</v>
      </c>
    </row>
    <row r="51" spans="1:5" x14ac:dyDescent="0.3">
      <c r="A51" s="7" t="s">
        <v>5</v>
      </c>
      <c r="B51" s="3">
        <v>952</v>
      </c>
      <c r="D51" s="7" t="s">
        <v>38</v>
      </c>
      <c r="E51" s="11">
        <v>19</v>
      </c>
    </row>
    <row r="52" spans="1:5" x14ac:dyDescent="0.3">
      <c r="D52" s="7" t="s">
        <v>37</v>
      </c>
      <c r="E52" s="11">
        <v>23</v>
      </c>
    </row>
    <row r="53" spans="1:5" x14ac:dyDescent="0.3">
      <c r="A53" s="7" t="s">
        <v>47</v>
      </c>
      <c r="D53" s="7" t="s">
        <v>43</v>
      </c>
      <c r="E53" s="11">
        <v>23</v>
      </c>
    </row>
    <row r="54" spans="1:5" x14ac:dyDescent="0.3">
      <c r="A54" s="6" t="s">
        <v>4</v>
      </c>
      <c r="D54" s="7" t="s">
        <v>42</v>
      </c>
      <c r="E54" s="11">
        <v>114</v>
      </c>
    </row>
    <row r="55" spans="1:5" x14ac:dyDescent="0.3">
      <c r="A55" s="7" t="s">
        <v>48</v>
      </c>
      <c r="D55" s="7" t="s">
        <v>39</v>
      </c>
      <c r="E55" s="11">
        <v>180</v>
      </c>
    </row>
    <row r="56" spans="1:5" x14ac:dyDescent="0.3">
      <c r="A56" s="7" t="s">
        <v>5</v>
      </c>
      <c r="D56" s="7" t="s">
        <v>41</v>
      </c>
      <c r="E56" s="11">
        <v>570</v>
      </c>
    </row>
    <row r="57" spans="1:5" x14ac:dyDescent="0.3">
      <c r="D57" s="7" t="s">
        <v>5</v>
      </c>
      <c r="E57" s="3">
        <v>952</v>
      </c>
    </row>
  </sheetData>
  <mergeCells count="1">
    <mergeCell ref="E2:F2"/>
  </mergeCells>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E5DA5-6F1E-4361-BD37-2910D0124854}">
  <dimension ref="A1:U37"/>
  <sheetViews>
    <sheetView tabSelected="1" zoomScale="125" zoomScaleNormal="125" workbookViewId="0">
      <selection activeCell="P8" sqref="P8"/>
    </sheetView>
  </sheetViews>
  <sheetFormatPr defaultRowHeight="14.4" x14ac:dyDescent="0.3"/>
  <sheetData>
    <row r="1" spans="1:21" x14ac:dyDescent="0.3">
      <c r="A1" s="22"/>
      <c r="B1" s="22"/>
      <c r="C1" s="22"/>
      <c r="D1" s="22"/>
      <c r="E1" s="22"/>
      <c r="F1" s="22"/>
      <c r="G1" s="22"/>
      <c r="H1" s="22"/>
      <c r="I1" s="22"/>
      <c r="J1" s="22"/>
      <c r="K1" s="22"/>
      <c r="L1" s="22"/>
      <c r="M1" s="22"/>
      <c r="N1" s="22"/>
      <c r="O1" s="22"/>
      <c r="P1" s="22"/>
      <c r="Q1" s="22"/>
      <c r="R1" s="22"/>
      <c r="S1" s="22"/>
      <c r="T1" s="22"/>
      <c r="U1" s="4"/>
    </row>
    <row r="2" spans="1:21" x14ac:dyDescent="0.3">
      <c r="A2" s="22"/>
      <c r="B2" s="22"/>
      <c r="C2" s="22"/>
      <c r="D2" s="22"/>
      <c r="E2" s="22"/>
      <c r="F2" s="22"/>
      <c r="G2" s="22"/>
      <c r="H2" s="22"/>
      <c r="I2" s="22"/>
      <c r="J2" s="22"/>
      <c r="K2" s="22"/>
      <c r="L2" s="22"/>
      <c r="M2" s="22"/>
      <c r="N2" s="22"/>
      <c r="O2" s="22"/>
      <c r="P2" s="22"/>
      <c r="Q2" s="22"/>
      <c r="R2" s="22"/>
      <c r="S2" s="22"/>
      <c r="T2" s="22"/>
      <c r="U2" s="4"/>
    </row>
    <row r="3" spans="1:21" x14ac:dyDescent="0.3">
      <c r="A3" s="22"/>
      <c r="B3" s="22"/>
      <c r="C3" s="22"/>
      <c r="D3" s="22"/>
      <c r="E3" s="22"/>
      <c r="F3" s="22"/>
      <c r="G3" s="22"/>
      <c r="H3" s="22"/>
      <c r="I3" s="22"/>
      <c r="J3" s="22"/>
      <c r="K3" s="22"/>
      <c r="L3" s="22"/>
      <c r="M3" s="22"/>
      <c r="N3" s="22"/>
      <c r="O3" s="22"/>
      <c r="P3" s="22"/>
      <c r="Q3" s="22"/>
      <c r="R3" s="22"/>
      <c r="S3" s="22"/>
      <c r="T3" s="22"/>
      <c r="U3" s="4"/>
    </row>
    <row r="4" spans="1:21" x14ac:dyDescent="0.3">
      <c r="A4" s="22"/>
      <c r="B4" s="22"/>
      <c r="C4" s="22"/>
      <c r="D4" s="22"/>
      <c r="E4" s="22"/>
      <c r="F4" s="22"/>
      <c r="G4" s="22"/>
      <c r="H4" s="22"/>
      <c r="I4" s="22"/>
      <c r="J4" s="22"/>
      <c r="K4" s="22"/>
      <c r="L4" s="22"/>
      <c r="M4" s="22"/>
      <c r="N4" s="22"/>
      <c r="O4" s="22"/>
      <c r="P4" s="22"/>
      <c r="Q4" s="22"/>
      <c r="R4" s="22"/>
      <c r="S4" s="22"/>
      <c r="T4" s="22"/>
      <c r="U4" s="4"/>
    </row>
    <row r="5" spans="1:21" x14ac:dyDescent="0.3">
      <c r="A5" s="22"/>
      <c r="B5" s="22"/>
      <c r="C5" s="22"/>
      <c r="D5" s="22"/>
      <c r="E5" s="22"/>
      <c r="F5" s="22"/>
      <c r="G5" s="22"/>
      <c r="H5" s="22"/>
      <c r="I5" s="22"/>
      <c r="J5" s="22"/>
      <c r="K5" s="22"/>
      <c r="L5" s="22"/>
      <c r="M5" s="22"/>
      <c r="N5" s="22"/>
      <c r="O5" s="22"/>
      <c r="P5" s="22"/>
      <c r="Q5" s="22"/>
      <c r="R5" s="22"/>
      <c r="S5" s="22"/>
      <c r="T5" s="22"/>
      <c r="U5" s="4"/>
    </row>
    <row r="6" spans="1:21" x14ac:dyDescent="0.3">
      <c r="A6" s="22"/>
      <c r="B6" s="22"/>
      <c r="C6" s="22"/>
      <c r="D6" s="22"/>
      <c r="E6" s="22"/>
      <c r="F6" s="22"/>
      <c r="G6" s="22"/>
      <c r="H6" s="22"/>
      <c r="I6" s="22"/>
      <c r="J6" s="22"/>
      <c r="K6" s="22"/>
      <c r="L6" s="22"/>
      <c r="M6" s="22"/>
      <c r="N6" s="22"/>
      <c r="O6" s="22"/>
      <c r="P6" s="22"/>
      <c r="Q6" s="22"/>
      <c r="R6" s="22"/>
      <c r="S6" s="22"/>
      <c r="T6" s="22"/>
      <c r="U6" s="4"/>
    </row>
    <row r="7" spans="1:21" x14ac:dyDescent="0.3">
      <c r="A7" s="22"/>
      <c r="B7" s="22"/>
      <c r="C7" s="22"/>
      <c r="D7" s="22"/>
      <c r="E7" s="22"/>
      <c r="F7" s="22"/>
      <c r="G7" s="22"/>
      <c r="H7" s="22"/>
      <c r="I7" s="22"/>
      <c r="J7" s="22"/>
      <c r="K7" s="22"/>
      <c r="L7" s="22"/>
      <c r="M7" s="22"/>
      <c r="N7" s="22"/>
      <c r="O7" s="22"/>
      <c r="P7" s="22"/>
      <c r="Q7" s="22"/>
      <c r="R7" s="22"/>
      <c r="S7" s="22"/>
      <c r="T7" s="22"/>
      <c r="U7" s="4"/>
    </row>
    <row r="8" spans="1:21" x14ac:dyDescent="0.3">
      <c r="A8" s="22"/>
      <c r="B8" s="22"/>
      <c r="C8" s="22"/>
      <c r="D8" s="22"/>
      <c r="E8" s="22"/>
      <c r="F8" s="22"/>
      <c r="G8" s="22"/>
      <c r="H8" s="22"/>
      <c r="I8" s="22"/>
      <c r="J8" s="22"/>
      <c r="K8" s="22"/>
      <c r="L8" s="22"/>
      <c r="M8" s="22"/>
      <c r="N8" s="22"/>
      <c r="O8" s="22"/>
      <c r="P8" s="22"/>
      <c r="Q8" s="22"/>
      <c r="R8" s="22"/>
      <c r="S8" s="22"/>
      <c r="T8" s="22"/>
      <c r="U8" s="4"/>
    </row>
    <row r="9" spans="1:21" x14ac:dyDescent="0.3">
      <c r="A9" s="22"/>
      <c r="B9" s="22"/>
      <c r="C9" s="22"/>
      <c r="D9" s="22"/>
      <c r="E9" s="22"/>
      <c r="F9" s="22"/>
      <c r="G9" s="22"/>
      <c r="H9" s="22"/>
      <c r="I9" s="22"/>
      <c r="J9" s="22"/>
      <c r="K9" s="22"/>
      <c r="L9" s="22"/>
      <c r="M9" s="22"/>
      <c r="N9" s="22"/>
      <c r="O9" s="22"/>
      <c r="P9" s="22"/>
      <c r="Q9" s="22"/>
      <c r="R9" s="22"/>
      <c r="S9" s="22"/>
      <c r="T9" s="22"/>
      <c r="U9" s="4"/>
    </row>
    <row r="10" spans="1:21" x14ac:dyDescent="0.3">
      <c r="A10" s="22"/>
      <c r="B10" s="22"/>
      <c r="C10" s="22"/>
      <c r="D10" s="22"/>
      <c r="E10" s="22"/>
      <c r="F10" s="22"/>
      <c r="G10" s="22"/>
      <c r="H10" s="22"/>
      <c r="I10" s="22"/>
      <c r="J10" s="22"/>
      <c r="K10" s="22"/>
      <c r="L10" s="22"/>
      <c r="M10" s="22"/>
      <c r="N10" s="22"/>
      <c r="O10" s="22"/>
      <c r="P10" s="22"/>
      <c r="Q10" s="22"/>
      <c r="R10" s="22"/>
      <c r="S10" s="22"/>
      <c r="T10" s="22"/>
      <c r="U10" s="4"/>
    </row>
    <row r="11" spans="1:21" x14ac:dyDescent="0.3">
      <c r="A11" s="22"/>
      <c r="B11" s="22"/>
      <c r="C11" s="22"/>
      <c r="D11" s="22"/>
      <c r="E11" s="22"/>
      <c r="F11" s="22"/>
      <c r="G11" s="22"/>
      <c r="H11" s="22"/>
      <c r="I11" s="22"/>
      <c r="J11" s="22"/>
      <c r="K11" s="22"/>
      <c r="L11" s="22"/>
      <c r="M11" s="22"/>
      <c r="N11" s="22"/>
      <c r="O11" s="22"/>
      <c r="P11" s="22"/>
      <c r="Q11" s="22"/>
      <c r="R11" s="22"/>
      <c r="S11" s="22"/>
      <c r="T11" s="22"/>
      <c r="U11" s="4"/>
    </row>
    <row r="12" spans="1:21" x14ac:dyDescent="0.3">
      <c r="A12" s="22"/>
      <c r="B12" s="22"/>
      <c r="C12" s="22"/>
      <c r="D12" s="22"/>
      <c r="E12" s="22"/>
      <c r="F12" s="22"/>
      <c r="G12" s="22"/>
      <c r="H12" s="22"/>
      <c r="I12" s="22"/>
      <c r="J12" s="22"/>
      <c r="K12" s="22"/>
      <c r="L12" s="22"/>
      <c r="M12" s="22"/>
      <c r="N12" s="22"/>
      <c r="O12" s="22"/>
      <c r="P12" s="22"/>
      <c r="Q12" s="22"/>
      <c r="R12" s="22"/>
      <c r="S12" s="22"/>
      <c r="T12" s="22"/>
      <c r="U12" s="4"/>
    </row>
    <row r="13" spans="1:21" x14ac:dyDescent="0.3">
      <c r="A13" s="22"/>
      <c r="B13" s="22"/>
      <c r="C13" s="22"/>
      <c r="D13" s="22"/>
      <c r="E13" s="22"/>
      <c r="F13" s="22"/>
      <c r="G13" s="22"/>
      <c r="H13" s="22"/>
      <c r="I13" s="22"/>
      <c r="J13" s="22"/>
      <c r="K13" s="22"/>
      <c r="L13" s="22"/>
      <c r="M13" s="22"/>
      <c r="N13" s="22"/>
      <c r="O13" s="22"/>
      <c r="P13" s="22"/>
      <c r="Q13" s="22"/>
      <c r="R13" s="22"/>
      <c r="S13" s="22"/>
      <c r="T13" s="22"/>
      <c r="U13" s="4"/>
    </row>
    <row r="14" spans="1:21" x14ac:dyDescent="0.3">
      <c r="A14" s="22"/>
      <c r="B14" s="22"/>
      <c r="C14" s="22"/>
      <c r="D14" s="22"/>
      <c r="E14" s="22"/>
      <c r="F14" s="22"/>
      <c r="G14" s="22"/>
      <c r="H14" s="22"/>
      <c r="I14" s="22"/>
      <c r="J14" s="22"/>
      <c r="K14" s="22"/>
      <c r="L14" s="22"/>
      <c r="M14" s="22"/>
      <c r="N14" s="22"/>
      <c r="O14" s="22"/>
      <c r="P14" s="22"/>
      <c r="Q14" s="22"/>
      <c r="R14" s="22"/>
      <c r="S14" s="22"/>
      <c r="T14" s="22"/>
      <c r="U14" s="4"/>
    </row>
    <row r="15" spans="1:21" x14ac:dyDescent="0.3">
      <c r="A15" s="22"/>
      <c r="B15" s="22"/>
      <c r="C15" s="22"/>
      <c r="D15" s="22"/>
      <c r="E15" s="22"/>
      <c r="F15" s="22"/>
      <c r="G15" s="22"/>
      <c r="H15" s="22"/>
      <c r="I15" s="22"/>
      <c r="J15" s="22"/>
      <c r="K15" s="22"/>
      <c r="L15" s="22"/>
      <c r="M15" s="22"/>
      <c r="N15" s="22"/>
      <c r="O15" s="22"/>
      <c r="P15" s="22"/>
      <c r="Q15" s="22"/>
      <c r="R15" s="22"/>
      <c r="S15" s="22"/>
      <c r="T15" s="22"/>
      <c r="U15" s="4"/>
    </row>
    <row r="16" spans="1:21" x14ac:dyDescent="0.3">
      <c r="A16" s="22"/>
      <c r="B16" s="22"/>
      <c r="C16" s="22"/>
      <c r="D16" s="22"/>
      <c r="E16" s="22"/>
      <c r="F16" s="22"/>
      <c r="G16" s="22"/>
      <c r="H16" s="22"/>
      <c r="I16" s="22"/>
      <c r="J16" s="22"/>
      <c r="K16" s="22"/>
      <c r="L16" s="22"/>
      <c r="M16" s="22"/>
      <c r="N16" s="22"/>
      <c r="O16" s="22"/>
      <c r="P16" s="22"/>
      <c r="Q16" s="22"/>
      <c r="R16" s="22"/>
      <c r="S16" s="22"/>
      <c r="T16" s="22"/>
      <c r="U16" s="4"/>
    </row>
    <row r="17" spans="1:21" x14ac:dyDescent="0.3">
      <c r="A17" s="22"/>
      <c r="B17" s="22"/>
      <c r="C17" s="22"/>
      <c r="D17" s="22"/>
      <c r="E17" s="22"/>
      <c r="F17" s="22"/>
      <c r="G17" s="22"/>
      <c r="H17" s="22"/>
      <c r="I17" s="22"/>
      <c r="J17" s="22"/>
      <c r="K17" s="22"/>
      <c r="L17" s="22"/>
      <c r="M17" s="22"/>
      <c r="N17" s="22"/>
      <c r="O17" s="22"/>
      <c r="P17" s="22"/>
      <c r="Q17" s="22"/>
      <c r="R17" s="22"/>
      <c r="S17" s="22"/>
      <c r="T17" s="22"/>
      <c r="U17" s="4"/>
    </row>
    <row r="18" spans="1:21" x14ac:dyDescent="0.3">
      <c r="A18" s="22"/>
      <c r="B18" s="22"/>
      <c r="C18" s="22"/>
      <c r="D18" s="22"/>
      <c r="E18" s="22"/>
      <c r="F18" s="22"/>
      <c r="G18" s="22"/>
      <c r="H18" s="22"/>
      <c r="I18" s="22"/>
      <c r="J18" s="22"/>
      <c r="K18" s="22"/>
      <c r="L18" s="22"/>
      <c r="M18" s="22"/>
      <c r="N18" s="22"/>
      <c r="O18" s="22"/>
      <c r="P18" s="22"/>
      <c r="Q18" s="22"/>
      <c r="R18" s="22"/>
      <c r="S18" s="22"/>
      <c r="T18" s="22"/>
      <c r="U18" s="4"/>
    </row>
    <row r="19" spans="1:21" x14ac:dyDescent="0.3">
      <c r="A19" s="22"/>
      <c r="B19" s="22"/>
      <c r="C19" s="22"/>
      <c r="D19" s="22"/>
      <c r="E19" s="22"/>
      <c r="F19" s="22"/>
      <c r="G19" s="22"/>
      <c r="H19" s="22"/>
      <c r="I19" s="22"/>
      <c r="J19" s="22"/>
      <c r="K19" s="22"/>
      <c r="L19" s="22"/>
      <c r="M19" s="22"/>
      <c r="N19" s="22"/>
      <c r="O19" s="22"/>
      <c r="P19" s="22"/>
      <c r="Q19" s="22"/>
      <c r="R19" s="22"/>
      <c r="S19" s="22"/>
      <c r="T19" s="22"/>
      <c r="U19" s="4"/>
    </row>
    <row r="20" spans="1:21" x14ac:dyDescent="0.3">
      <c r="A20" s="22"/>
      <c r="B20" s="22"/>
      <c r="C20" s="22"/>
      <c r="D20" s="22"/>
      <c r="E20" s="22"/>
      <c r="F20" s="22"/>
      <c r="G20" s="22"/>
      <c r="H20" s="22"/>
      <c r="I20" s="22"/>
      <c r="J20" s="22"/>
      <c r="K20" s="22"/>
      <c r="L20" s="22"/>
      <c r="M20" s="22"/>
      <c r="N20" s="22"/>
      <c r="O20" s="22"/>
      <c r="P20" s="22"/>
      <c r="Q20" s="22"/>
      <c r="R20" s="22"/>
      <c r="S20" s="22"/>
      <c r="T20" s="22"/>
      <c r="U20" s="4"/>
    </row>
    <row r="21" spans="1:21" x14ac:dyDescent="0.3">
      <c r="A21" s="22"/>
      <c r="B21" s="22"/>
      <c r="C21" s="22"/>
      <c r="D21" s="22"/>
      <c r="E21" s="22"/>
      <c r="F21" s="22"/>
      <c r="G21" s="22"/>
      <c r="H21" s="22"/>
      <c r="I21" s="22"/>
      <c r="J21" s="22"/>
      <c r="K21" s="22"/>
      <c r="L21" s="22"/>
      <c r="M21" s="22"/>
      <c r="N21" s="22"/>
      <c r="O21" s="22"/>
      <c r="P21" s="22"/>
      <c r="Q21" s="22"/>
      <c r="R21" s="22"/>
      <c r="S21" s="22"/>
      <c r="T21" s="22"/>
      <c r="U21" s="4"/>
    </row>
    <row r="22" spans="1:21" x14ac:dyDescent="0.3">
      <c r="A22" s="22"/>
      <c r="B22" s="22"/>
      <c r="C22" s="22"/>
      <c r="D22" s="22"/>
      <c r="E22" s="22"/>
      <c r="F22" s="22"/>
      <c r="G22" s="22"/>
      <c r="H22" s="22"/>
      <c r="I22" s="22"/>
      <c r="J22" s="22"/>
      <c r="K22" s="22"/>
      <c r="L22" s="22"/>
      <c r="M22" s="22"/>
      <c r="N22" s="22"/>
      <c r="O22" s="22"/>
      <c r="P22" s="22"/>
      <c r="Q22" s="22"/>
      <c r="R22" s="22"/>
      <c r="S22" s="22"/>
      <c r="T22" s="22"/>
      <c r="U22" s="4"/>
    </row>
    <row r="23" spans="1:21" x14ac:dyDescent="0.3">
      <c r="A23" s="22"/>
      <c r="B23" s="22"/>
      <c r="C23" s="22"/>
      <c r="D23" s="22"/>
      <c r="E23" s="22"/>
      <c r="F23" s="22"/>
      <c r="G23" s="22"/>
      <c r="H23" s="22"/>
      <c r="I23" s="22"/>
      <c r="J23" s="22"/>
      <c r="K23" s="22"/>
      <c r="L23" s="22"/>
      <c r="M23" s="22"/>
      <c r="N23" s="22"/>
      <c r="O23" s="22"/>
      <c r="P23" s="22"/>
      <c r="Q23" s="22"/>
      <c r="R23" s="22"/>
      <c r="S23" s="22"/>
      <c r="T23" s="22"/>
      <c r="U23" s="4"/>
    </row>
    <row r="24" spans="1:21" x14ac:dyDescent="0.3">
      <c r="A24" s="22"/>
      <c r="B24" s="22"/>
      <c r="C24" s="22"/>
      <c r="D24" s="22"/>
      <c r="E24" s="22"/>
      <c r="F24" s="22"/>
      <c r="G24" s="22"/>
      <c r="H24" s="22"/>
      <c r="I24" s="22"/>
      <c r="J24" s="22"/>
      <c r="K24" s="22"/>
      <c r="L24" s="22"/>
      <c r="M24" s="22"/>
      <c r="N24" s="22"/>
      <c r="O24" s="22"/>
      <c r="P24" s="22"/>
      <c r="Q24" s="22"/>
      <c r="R24" s="22"/>
      <c r="S24" s="22"/>
      <c r="T24" s="22"/>
      <c r="U24" s="4"/>
    </row>
    <row r="25" spans="1:21" x14ac:dyDescent="0.3">
      <c r="A25" s="22"/>
      <c r="B25" s="22"/>
      <c r="C25" s="22"/>
      <c r="D25" s="22"/>
      <c r="E25" s="22"/>
      <c r="F25" s="22"/>
      <c r="G25" s="22"/>
      <c r="H25" s="22"/>
      <c r="I25" s="22"/>
      <c r="J25" s="22"/>
      <c r="K25" s="22"/>
      <c r="L25" s="22"/>
      <c r="M25" s="22"/>
      <c r="N25" s="22"/>
      <c r="O25" s="22"/>
      <c r="P25" s="22"/>
      <c r="Q25" s="22"/>
      <c r="R25" s="22"/>
      <c r="S25" s="22"/>
      <c r="T25" s="22"/>
      <c r="U25" s="4"/>
    </row>
    <row r="26" spans="1:21" x14ac:dyDescent="0.3">
      <c r="A26" s="22"/>
      <c r="B26" s="22"/>
      <c r="C26" s="22"/>
      <c r="D26" s="22"/>
      <c r="E26" s="22"/>
      <c r="F26" s="22"/>
      <c r="G26" s="22"/>
      <c r="H26" s="22"/>
      <c r="I26" s="22"/>
      <c r="J26" s="22"/>
      <c r="K26" s="22"/>
      <c r="L26" s="22"/>
      <c r="M26" s="22"/>
      <c r="N26" s="22"/>
      <c r="O26" s="22"/>
      <c r="P26" s="22"/>
      <c r="Q26" s="22"/>
      <c r="R26" s="22"/>
      <c r="S26" s="22"/>
      <c r="T26" s="22"/>
      <c r="U26" s="4"/>
    </row>
    <row r="27" spans="1:21" x14ac:dyDescent="0.3">
      <c r="A27" s="4"/>
      <c r="B27" s="4"/>
      <c r="C27" s="4"/>
      <c r="D27" s="4"/>
      <c r="E27" s="4"/>
      <c r="F27" s="4"/>
      <c r="G27" s="4"/>
      <c r="H27" s="4"/>
      <c r="I27" s="4"/>
      <c r="J27" s="4"/>
      <c r="K27" s="4"/>
      <c r="L27" s="4"/>
      <c r="M27" s="4"/>
      <c r="N27" s="4"/>
      <c r="O27" s="4"/>
      <c r="P27" s="4"/>
      <c r="Q27" s="4"/>
      <c r="R27" s="4"/>
      <c r="S27" s="4"/>
      <c r="T27" s="4"/>
      <c r="U27" s="4"/>
    </row>
    <row r="28" spans="1:21" x14ac:dyDescent="0.3">
      <c r="A28" s="4"/>
      <c r="B28" s="4"/>
      <c r="C28" s="4"/>
      <c r="D28" s="4"/>
      <c r="E28" s="4"/>
      <c r="F28" s="4"/>
      <c r="G28" s="4"/>
      <c r="H28" s="4"/>
      <c r="I28" s="4"/>
      <c r="J28" s="4"/>
      <c r="K28" s="4"/>
      <c r="L28" s="4"/>
      <c r="M28" s="4"/>
      <c r="N28" s="4"/>
      <c r="O28" s="4"/>
      <c r="P28" s="4"/>
      <c r="Q28" s="4"/>
      <c r="R28" s="4"/>
      <c r="S28" s="4"/>
      <c r="T28" s="4"/>
      <c r="U28" s="4"/>
    </row>
    <row r="29" spans="1:21" x14ac:dyDescent="0.3">
      <c r="A29" s="5"/>
      <c r="B29" s="5"/>
      <c r="C29" s="5"/>
      <c r="D29" s="5"/>
      <c r="E29" s="5"/>
      <c r="F29" s="5"/>
      <c r="G29" s="5"/>
      <c r="H29" s="5"/>
      <c r="I29" s="5"/>
      <c r="J29" s="5"/>
      <c r="K29" s="5"/>
      <c r="L29" s="5"/>
      <c r="M29" s="5"/>
      <c r="N29" s="5"/>
      <c r="O29" s="5"/>
    </row>
    <row r="30" spans="1:21" x14ac:dyDescent="0.3">
      <c r="A30" s="5"/>
      <c r="B30" s="5"/>
      <c r="C30" s="5"/>
      <c r="D30" s="5"/>
      <c r="E30" s="5"/>
      <c r="F30" s="5"/>
      <c r="G30" s="5"/>
      <c r="H30" s="5"/>
      <c r="I30" s="13" t="s">
        <v>1</v>
      </c>
      <c r="J30" s="5"/>
      <c r="K30" s="5"/>
      <c r="L30" s="5"/>
      <c r="M30" s="5"/>
      <c r="N30" s="5"/>
      <c r="O30" s="5"/>
    </row>
    <row r="31" spans="1:21" x14ac:dyDescent="0.3">
      <c r="A31" s="5"/>
      <c r="B31" s="5"/>
      <c r="C31" s="5"/>
      <c r="D31" s="5"/>
      <c r="E31" s="5"/>
      <c r="F31" s="5"/>
      <c r="G31" s="5"/>
      <c r="H31" s="5"/>
      <c r="I31" s="5"/>
      <c r="J31" s="5"/>
      <c r="K31" s="5"/>
      <c r="L31" s="5"/>
      <c r="M31" s="5"/>
      <c r="N31" s="5"/>
      <c r="O31" s="5"/>
    </row>
    <row r="32" spans="1:21" x14ac:dyDescent="0.3">
      <c r="A32" s="5"/>
      <c r="B32" s="5"/>
      <c r="C32" s="5"/>
      <c r="D32" s="5"/>
      <c r="E32" s="5"/>
      <c r="F32" s="5"/>
      <c r="G32" s="5"/>
      <c r="H32" s="5"/>
      <c r="I32" s="5"/>
      <c r="J32" s="5"/>
      <c r="K32" s="5"/>
      <c r="L32" s="5"/>
      <c r="M32" s="5"/>
      <c r="N32" s="5"/>
      <c r="O32" s="5"/>
    </row>
    <row r="33" spans="1:15" x14ac:dyDescent="0.3">
      <c r="A33" s="5"/>
      <c r="B33" s="5"/>
      <c r="C33" s="5"/>
      <c r="D33" s="5"/>
      <c r="E33" s="5"/>
      <c r="F33" s="5"/>
      <c r="G33" s="5"/>
      <c r="H33" s="5"/>
      <c r="I33" s="5"/>
      <c r="J33" s="5"/>
      <c r="K33" s="5"/>
      <c r="L33" s="5"/>
      <c r="M33" s="5"/>
      <c r="N33" s="5"/>
      <c r="O33" s="5"/>
    </row>
    <row r="34" spans="1:15" x14ac:dyDescent="0.3">
      <c r="A34" s="5"/>
      <c r="B34" s="5"/>
      <c r="C34" s="5"/>
      <c r="D34" s="5"/>
      <c r="E34" s="5"/>
      <c r="F34" s="5"/>
      <c r="G34" s="5"/>
      <c r="H34" s="5"/>
      <c r="I34" s="5"/>
      <c r="J34" s="5"/>
      <c r="K34" s="5"/>
      <c r="L34" s="5"/>
      <c r="M34" s="5"/>
      <c r="N34" s="5"/>
      <c r="O34" s="5"/>
    </row>
    <row r="35" spans="1:15" x14ac:dyDescent="0.3">
      <c r="A35" s="5"/>
      <c r="B35" s="5"/>
      <c r="C35" s="5"/>
      <c r="D35" s="5"/>
      <c r="E35" s="5"/>
      <c r="F35" s="5"/>
      <c r="G35" s="5"/>
      <c r="H35" s="5"/>
      <c r="I35" s="5"/>
      <c r="J35" s="5"/>
      <c r="K35" s="5"/>
      <c r="L35" s="5"/>
      <c r="M35" s="5"/>
      <c r="N35" s="5"/>
      <c r="O35" s="5"/>
    </row>
    <row r="36" spans="1:15" x14ac:dyDescent="0.3">
      <c r="A36" s="5"/>
      <c r="B36" s="5"/>
      <c r="C36" s="5"/>
      <c r="D36" s="5"/>
      <c r="E36" s="5"/>
      <c r="F36" s="5"/>
      <c r="G36" s="5"/>
      <c r="H36" s="5"/>
      <c r="I36" s="5"/>
      <c r="J36" s="5"/>
      <c r="K36" s="5"/>
      <c r="L36" s="5"/>
      <c r="M36" s="5"/>
      <c r="N36" s="5"/>
      <c r="O36" s="5"/>
    </row>
    <row r="37" spans="1:15" x14ac:dyDescent="0.3">
      <c r="A37" s="5"/>
      <c r="B37" s="5"/>
      <c r="C37" s="5"/>
      <c r="D37" s="5"/>
      <c r="E37" s="5"/>
      <c r="F37" s="5"/>
      <c r="G37" s="5"/>
      <c r="H37" s="5"/>
      <c r="I37" s="5"/>
      <c r="J37" s="5"/>
      <c r="K37" s="5"/>
      <c r="L37" s="5"/>
      <c r="M37" s="5"/>
      <c r="N37" s="5"/>
      <c r="O37" s="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2EAAB-508E-43CC-8068-0A437B57830A}">
  <dimension ref="A1:Z30"/>
  <sheetViews>
    <sheetView workbookViewId="0"/>
  </sheetViews>
  <sheetFormatPr defaultRowHeight="14.4" x14ac:dyDescent="0.3"/>
  <sheetData>
    <row r="1" spans="1:26" x14ac:dyDescent="0.3">
      <c r="A1" s="4"/>
      <c r="B1" s="4"/>
      <c r="C1" s="4"/>
      <c r="D1" s="4"/>
      <c r="E1" s="4"/>
      <c r="F1" s="4"/>
      <c r="G1" s="4"/>
      <c r="H1" s="4"/>
      <c r="I1" s="4"/>
      <c r="J1" s="4"/>
      <c r="K1" s="4"/>
      <c r="L1" s="4"/>
      <c r="M1" s="4"/>
      <c r="N1" s="4"/>
      <c r="O1" s="4"/>
      <c r="P1" s="4"/>
      <c r="Q1" s="4"/>
      <c r="R1" s="4"/>
      <c r="S1" s="4"/>
      <c r="T1" s="4"/>
      <c r="U1" s="4"/>
      <c r="V1" s="4"/>
      <c r="W1" s="4"/>
      <c r="X1" s="4"/>
      <c r="Y1" s="4"/>
      <c r="Z1" s="4"/>
    </row>
    <row r="2" spans="1:26" x14ac:dyDescent="0.3">
      <c r="A2" s="4"/>
      <c r="B2" s="4"/>
      <c r="C2" s="4"/>
      <c r="D2" s="4"/>
      <c r="E2" s="4"/>
      <c r="F2" s="4"/>
      <c r="G2" s="4"/>
      <c r="H2" s="4"/>
      <c r="I2" s="4"/>
      <c r="J2" s="4"/>
      <c r="K2" s="4"/>
      <c r="L2" s="4"/>
      <c r="M2" s="4"/>
      <c r="N2" s="4"/>
      <c r="O2" s="4"/>
      <c r="P2" s="4"/>
      <c r="Q2" s="4"/>
      <c r="R2" s="4"/>
      <c r="S2" s="4"/>
      <c r="T2" s="4"/>
      <c r="U2" s="4"/>
      <c r="V2" s="4"/>
      <c r="W2" s="4"/>
      <c r="X2" s="4"/>
      <c r="Y2" s="4"/>
      <c r="Z2" s="4"/>
    </row>
    <row r="3" spans="1:26" x14ac:dyDescent="0.3">
      <c r="A3" s="4"/>
      <c r="B3" s="4"/>
      <c r="C3" s="4"/>
      <c r="D3" s="4"/>
      <c r="E3" s="4"/>
      <c r="F3" s="4"/>
      <c r="G3" s="4"/>
      <c r="H3" s="4"/>
      <c r="I3" s="4"/>
      <c r="J3" s="4"/>
      <c r="K3" s="4"/>
      <c r="L3" s="4"/>
      <c r="M3" s="4"/>
      <c r="N3" s="4"/>
      <c r="O3" s="4"/>
      <c r="P3" s="4"/>
      <c r="Q3" s="4"/>
      <c r="R3" s="4"/>
      <c r="S3" s="4"/>
      <c r="T3" s="4"/>
      <c r="U3" s="4"/>
      <c r="V3" s="4"/>
      <c r="W3" s="4"/>
      <c r="X3" s="4"/>
      <c r="Y3" s="4"/>
      <c r="Z3" s="4"/>
    </row>
    <row r="4" spans="1:26" x14ac:dyDescent="0.3">
      <c r="A4" s="4"/>
      <c r="B4" s="4"/>
      <c r="C4" s="4"/>
      <c r="D4" s="4"/>
      <c r="E4" s="4"/>
      <c r="F4" s="4"/>
      <c r="G4" s="4"/>
      <c r="H4" s="4"/>
      <c r="I4" s="4"/>
      <c r="J4" s="4"/>
      <c r="K4" s="4"/>
      <c r="L4" s="4"/>
      <c r="M4" s="4"/>
      <c r="N4" s="4"/>
      <c r="O4" s="4"/>
      <c r="P4" s="4"/>
      <c r="Q4" s="4"/>
      <c r="R4" s="4"/>
      <c r="S4" s="4"/>
      <c r="T4" s="4"/>
      <c r="U4" s="4"/>
      <c r="V4" s="4"/>
      <c r="W4" s="4"/>
      <c r="X4" s="4"/>
      <c r="Y4" s="4"/>
      <c r="Z4" s="4"/>
    </row>
    <row r="5" spans="1:26" x14ac:dyDescent="0.3">
      <c r="A5" s="4"/>
      <c r="B5" s="4"/>
      <c r="C5" s="4"/>
      <c r="D5" s="4"/>
      <c r="E5" s="4"/>
      <c r="F5" s="4"/>
      <c r="G5" s="4"/>
      <c r="H5" s="4"/>
      <c r="I5" s="4"/>
      <c r="J5" s="4"/>
      <c r="K5" s="4"/>
      <c r="L5" s="4"/>
      <c r="M5" s="4"/>
      <c r="N5" s="4"/>
      <c r="O5" s="4"/>
      <c r="P5" s="4"/>
      <c r="Q5" s="4"/>
      <c r="R5" s="4"/>
      <c r="S5" s="4"/>
      <c r="T5" s="4"/>
      <c r="U5" s="4"/>
      <c r="V5" s="4"/>
      <c r="W5" s="4"/>
      <c r="X5" s="4"/>
      <c r="Y5" s="4"/>
      <c r="Z5" s="4"/>
    </row>
    <row r="6" spans="1:26" x14ac:dyDescent="0.3">
      <c r="A6" s="4"/>
      <c r="B6" s="4"/>
      <c r="C6" s="4"/>
      <c r="D6" s="4"/>
      <c r="E6" s="4"/>
      <c r="F6" s="4"/>
      <c r="G6" s="4"/>
      <c r="H6" s="4"/>
      <c r="I6" s="4"/>
      <c r="J6" s="4"/>
      <c r="K6" s="4"/>
      <c r="L6" s="4"/>
      <c r="M6" s="4"/>
      <c r="N6" s="4"/>
      <c r="O6" s="4"/>
      <c r="P6" s="4"/>
      <c r="Q6" s="4"/>
      <c r="R6" s="4"/>
      <c r="S6" s="4"/>
      <c r="T6" s="4"/>
      <c r="U6" s="4"/>
      <c r="V6" s="4"/>
      <c r="W6" s="4"/>
      <c r="X6" s="4"/>
      <c r="Y6" s="4"/>
      <c r="Z6" s="4"/>
    </row>
    <row r="7" spans="1:26" x14ac:dyDescent="0.3">
      <c r="A7" s="4"/>
      <c r="B7" s="4"/>
      <c r="C7" s="4"/>
      <c r="D7" s="4"/>
      <c r="E7" s="4"/>
      <c r="F7" s="4"/>
      <c r="G7" s="4"/>
      <c r="H7" s="4"/>
      <c r="I7" s="4"/>
      <c r="J7" s="4"/>
      <c r="K7" s="4"/>
      <c r="L7" s="4"/>
      <c r="M7" s="4"/>
      <c r="N7" s="4"/>
      <c r="O7" s="4"/>
      <c r="P7" s="4"/>
      <c r="Q7" s="4"/>
      <c r="R7" s="4"/>
      <c r="S7" s="4"/>
      <c r="T7" s="4"/>
      <c r="U7" s="4"/>
      <c r="V7" s="4"/>
      <c r="W7" s="4"/>
      <c r="X7" s="4"/>
      <c r="Y7" s="4"/>
      <c r="Z7" s="4"/>
    </row>
    <row r="8" spans="1:26" x14ac:dyDescent="0.3">
      <c r="A8" s="4"/>
      <c r="B8" s="4"/>
      <c r="C8" s="4"/>
      <c r="D8" s="4"/>
      <c r="E8" s="4"/>
      <c r="F8" s="4"/>
      <c r="G8" s="4"/>
      <c r="H8" s="4"/>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6" x14ac:dyDescent="0.3">
      <c r="A25" s="4"/>
      <c r="B25" s="4"/>
      <c r="C25" s="9" t="s">
        <v>11</v>
      </c>
      <c r="D25" s="4"/>
      <c r="E25" s="4"/>
      <c r="F25" s="4"/>
      <c r="G25" s="4"/>
      <c r="H25" s="4"/>
      <c r="I25" s="4"/>
      <c r="J25" s="4"/>
      <c r="K25" s="4"/>
      <c r="L25" s="4"/>
      <c r="M25" s="4"/>
      <c r="N25" s="4"/>
      <c r="O25" s="4"/>
      <c r="P25" s="4"/>
      <c r="Q25" s="4"/>
      <c r="R25" s="4"/>
      <c r="S25" s="4"/>
      <c r="T25" s="4"/>
      <c r="U25" s="4"/>
      <c r="V25" s="4"/>
      <c r="W25" s="4"/>
      <c r="X25" s="4"/>
      <c r="Y25" s="4"/>
      <c r="Z25" s="4"/>
    </row>
    <row r="26" spans="1:26" ht="15.6" x14ac:dyDescent="0.3">
      <c r="A26" s="4"/>
      <c r="B26" s="4"/>
      <c r="C26" s="9"/>
      <c r="D26" s="4"/>
      <c r="E26" s="4"/>
      <c r="F26" s="4"/>
      <c r="G26" s="4"/>
      <c r="H26" s="4"/>
      <c r="I26" s="4"/>
      <c r="J26" s="4"/>
      <c r="K26" s="4"/>
      <c r="L26" s="4"/>
      <c r="M26" s="4"/>
      <c r="N26" s="4"/>
      <c r="O26" s="4"/>
      <c r="P26" s="4"/>
      <c r="Q26" s="4"/>
      <c r="R26" s="4"/>
      <c r="S26" s="4"/>
      <c r="T26" s="4"/>
      <c r="U26" s="4"/>
      <c r="V26" s="4"/>
      <c r="W26" s="4"/>
      <c r="X26" s="4"/>
      <c r="Y26" s="4"/>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4"/>
    </row>
    <row r="30" spans="1:26" x14ac:dyDescent="0.3">
      <c r="A30" s="4"/>
      <c r="B30" s="4"/>
      <c r="C30" s="4"/>
      <c r="D30" s="4"/>
      <c r="E30" s="4"/>
      <c r="F30" s="4"/>
      <c r="G30" s="4"/>
      <c r="H30" s="4"/>
      <c r="I30" s="4"/>
      <c r="J30" s="4"/>
      <c r="K30" s="4"/>
      <c r="L30" s="4"/>
      <c r="M30" s="4"/>
      <c r="N30" s="4"/>
      <c r="O30" s="4"/>
      <c r="P30" s="4"/>
      <c r="Q30" s="4"/>
      <c r="R30" s="4"/>
      <c r="S30" s="4"/>
      <c r="T30" s="4"/>
      <c r="U30" s="4"/>
      <c r="V30" s="4"/>
      <c r="W30" s="4"/>
      <c r="X30" s="4"/>
      <c r="Y30" s="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E6589-7D49-4C14-A922-AAB7BA0E3A2D}">
  <dimension ref="A1:Z28"/>
  <sheetViews>
    <sheetView workbookViewId="0"/>
  </sheetViews>
  <sheetFormatPr defaultRowHeight="14.4" x14ac:dyDescent="0.3"/>
  <sheetData>
    <row r="1" spans="1:26" x14ac:dyDescent="0.3">
      <c r="A1" s="4"/>
      <c r="B1" s="4"/>
      <c r="C1" s="4"/>
      <c r="D1" s="4"/>
      <c r="E1" s="4"/>
      <c r="F1" s="4"/>
      <c r="G1" s="4"/>
      <c r="H1" s="4"/>
      <c r="I1" s="4"/>
      <c r="J1" s="4"/>
      <c r="K1" s="4"/>
      <c r="L1" s="4"/>
      <c r="M1" s="4"/>
      <c r="N1" s="4"/>
      <c r="O1" s="4"/>
      <c r="P1" s="4"/>
      <c r="Q1" s="4"/>
      <c r="R1" s="4"/>
      <c r="S1" s="4"/>
      <c r="T1" s="4"/>
      <c r="U1" s="4"/>
      <c r="V1" s="4"/>
      <c r="W1" s="4"/>
      <c r="X1" s="4"/>
      <c r="Y1" s="4"/>
      <c r="Z1" s="4"/>
    </row>
    <row r="2" spans="1:26" x14ac:dyDescent="0.3">
      <c r="A2" s="4"/>
      <c r="B2" s="4"/>
      <c r="C2" s="4"/>
      <c r="D2" s="4"/>
      <c r="E2" s="4"/>
      <c r="F2" s="4"/>
      <c r="G2" s="4"/>
      <c r="H2" s="4"/>
      <c r="I2" s="4"/>
      <c r="J2" s="4"/>
      <c r="K2" s="4"/>
      <c r="L2" s="4"/>
      <c r="M2" s="4"/>
      <c r="N2" s="4"/>
      <c r="O2" s="4"/>
      <c r="P2" s="4"/>
      <c r="Q2" s="4"/>
      <c r="R2" s="4"/>
      <c r="S2" s="4"/>
      <c r="T2" s="4"/>
      <c r="U2" s="4"/>
      <c r="V2" s="4"/>
      <c r="W2" s="4"/>
      <c r="X2" s="4"/>
      <c r="Y2" s="4"/>
      <c r="Z2" s="4"/>
    </row>
    <row r="3" spans="1:26" x14ac:dyDescent="0.3">
      <c r="A3" s="4"/>
      <c r="B3" s="4"/>
      <c r="C3" s="4"/>
      <c r="D3" s="4"/>
      <c r="E3" s="4"/>
      <c r="F3" s="4"/>
      <c r="G3" s="4"/>
      <c r="H3" s="4"/>
      <c r="I3" s="4"/>
      <c r="J3" s="4"/>
      <c r="K3" s="4"/>
      <c r="L3" s="4"/>
      <c r="M3" s="4"/>
      <c r="N3" s="4"/>
      <c r="O3" s="4"/>
      <c r="P3" s="4"/>
      <c r="Q3" s="4"/>
      <c r="R3" s="4"/>
      <c r="S3" s="4"/>
      <c r="T3" s="4"/>
      <c r="U3" s="4"/>
      <c r="V3" s="4"/>
      <c r="W3" s="4"/>
      <c r="X3" s="4"/>
      <c r="Y3" s="4"/>
      <c r="Z3" s="4"/>
    </row>
    <row r="4" spans="1:26" x14ac:dyDescent="0.3">
      <c r="A4" s="4"/>
      <c r="B4" s="4"/>
      <c r="C4" s="4"/>
      <c r="D4" s="4"/>
      <c r="E4" s="4"/>
      <c r="F4" s="4"/>
      <c r="G4" s="4"/>
      <c r="H4" s="4"/>
      <c r="I4" s="4"/>
      <c r="J4" s="4"/>
      <c r="K4" s="4"/>
      <c r="L4" s="4"/>
      <c r="M4" s="4"/>
      <c r="N4" s="4"/>
      <c r="O4" s="4"/>
      <c r="P4" s="4"/>
      <c r="Q4" s="4"/>
      <c r="R4" s="4"/>
      <c r="S4" s="4"/>
      <c r="T4" s="4"/>
      <c r="U4" s="4"/>
      <c r="V4" s="4"/>
      <c r="W4" s="4"/>
      <c r="X4" s="4"/>
      <c r="Y4" s="4"/>
      <c r="Z4" s="4"/>
    </row>
    <row r="5" spans="1:26" x14ac:dyDescent="0.3">
      <c r="A5" s="4"/>
      <c r="B5" s="4"/>
      <c r="C5" s="4"/>
      <c r="D5" s="4"/>
      <c r="E5" s="4"/>
      <c r="F5" s="4"/>
      <c r="G5" s="4"/>
      <c r="H5" s="4"/>
      <c r="I5" s="4"/>
      <c r="J5" s="4"/>
      <c r="K5" s="4"/>
      <c r="L5" s="4"/>
      <c r="M5" s="4"/>
      <c r="N5" s="4"/>
      <c r="O5" s="4"/>
      <c r="P5" s="4"/>
      <c r="Q5" s="4"/>
      <c r="R5" s="4"/>
      <c r="S5" s="4"/>
      <c r="T5" s="4"/>
      <c r="U5" s="4"/>
      <c r="V5" s="4"/>
      <c r="W5" s="4"/>
      <c r="X5" s="4"/>
      <c r="Y5" s="4"/>
      <c r="Z5" s="4"/>
    </row>
    <row r="6" spans="1:26" x14ac:dyDescent="0.3">
      <c r="A6" s="4"/>
      <c r="B6" s="4"/>
      <c r="C6" s="4"/>
      <c r="D6" s="4"/>
      <c r="E6" s="4"/>
      <c r="F6" s="4"/>
      <c r="G6" s="4"/>
      <c r="H6" s="4"/>
      <c r="I6" s="4"/>
      <c r="J6" s="4"/>
      <c r="K6" s="4"/>
      <c r="L6" s="4"/>
      <c r="M6" s="4"/>
      <c r="N6" s="4"/>
      <c r="O6" s="4"/>
      <c r="P6" s="4"/>
      <c r="Q6" s="4"/>
      <c r="R6" s="4"/>
      <c r="S6" s="4"/>
      <c r="T6" s="4"/>
      <c r="U6" s="4"/>
      <c r="V6" s="4"/>
      <c r="W6" s="4"/>
      <c r="X6" s="4"/>
      <c r="Y6" s="4"/>
      <c r="Z6" s="4"/>
    </row>
    <row r="7" spans="1:26" x14ac:dyDescent="0.3">
      <c r="A7" s="4"/>
      <c r="B7" s="4"/>
      <c r="C7" s="4"/>
      <c r="D7" s="4"/>
      <c r="E7" s="4"/>
      <c r="F7" s="4"/>
      <c r="G7" s="4"/>
      <c r="H7" s="4"/>
      <c r="I7" s="4"/>
      <c r="J7" s="4"/>
      <c r="K7" s="4"/>
      <c r="L7" s="4"/>
      <c r="M7" s="4"/>
      <c r="N7" s="4"/>
      <c r="O7" s="4"/>
      <c r="P7" s="4"/>
      <c r="Q7" s="4"/>
      <c r="R7" s="4"/>
      <c r="S7" s="4"/>
      <c r="T7" s="4"/>
      <c r="U7" s="4"/>
      <c r="V7" s="4"/>
      <c r="W7" s="4"/>
      <c r="X7" s="4"/>
      <c r="Y7" s="4"/>
      <c r="Z7" s="4"/>
    </row>
    <row r="8" spans="1:26" x14ac:dyDescent="0.3">
      <c r="A8" s="4"/>
      <c r="B8" s="4"/>
      <c r="C8" s="4"/>
      <c r="D8" s="4"/>
      <c r="E8" s="4"/>
      <c r="F8" s="4"/>
      <c r="G8" s="4"/>
      <c r="H8" s="4"/>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6" x14ac:dyDescent="0.3">
      <c r="A26" s="4"/>
      <c r="B26" s="4"/>
      <c r="C26" s="9" t="s">
        <v>7</v>
      </c>
      <c r="D26" s="4"/>
      <c r="E26" s="4"/>
      <c r="F26" s="4"/>
      <c r="G26" s="4"/>
      <c r="H26" s="4"/>
      <c r="I26" s="4"/>
      <c r="J26" s="4"/>
      <c r="K26" s="4"/>
      <c r="L26" s="4"/>
      <c r="M26" s="4"/>
      <c r="N26" s="4"/>
      <c r="O26" s="4"/>
      <c r="P26" s="4"/>
      <c r="Q26" s="4"/>
      <c r="R26" s="4"/>
      <c r="S26" s="4"/>
      <c r="T26" s="4"/>
      <c r="U26" s="4"/>
      <c r="V26" s="4"/>
      <c r="W26" s="4"/>
      <c r="X26" s="4"/>
      <c r="Y26" s="4"/>
      <c r="Z26" s="4"/>
    </row>
    <row r="27" spans="1:26" ht="18" x14ac:dyDescent="0.35">
      <c r="A27" s="4"/>
      <c r="B27" s="4"/>
      <c r="C27" s="10"/>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5CCD8-52D2-4EAA-9CCB-03F40E99A726}">
  <dimension ref="A1:Z28"/>
  <sheetViews>
    <sheetView workbookViewId="0"/>
  </sheetViews>
  <sheetFormatPr defaultRowHeight="14.4" x14ac:dyDescent="0.3"/>
  <sheetData>
    <row r="1" spans="1:26" x14ac:dyDescent="0.3">
      <c r="A1" s="4"/>
      <c r="B1" s="4"/>
      <c r="C1" s="4"/>
      <c r="D1" s="4"/>
      <c r="E1" s="4"/>
      <c r="F1" s="4"/>
      <c r="G1" s="4"/>
      <c r="H1" s="4"/>
      <c r="I1" s="4"/>
      <c r="J1" s="4"/>
      <c r="K1" s="4"/>
      <c r="L1" s="4"/>
      <c r="M1" s="4"/>
      <c r="N1" s="4"/>
      <c r="O1" s="4"/>
      <c r="P1" s="4"/>
      <c r="Q1" s="4"/>
      <c r="R1" s="4"/>
      <c r="S1" s="4"/>
      <c r="T1" s="4"/>
      <c r="U1" s="4"/>
      <c r="V1" s="4"/>
      <c r="W1" s="4"/>
      <c r="X1" s="4"/>
      <c r="Y1" s="4"/>
      <c r="Z1" s="4"/>
    </row>
    <row r="2" spans="1:26" x14ac:dyDescent="0.3">
      <c r="A2" s="4"/>
      <c r="B2" s="4"/>
      <c r="C2" s="4"/>
      <c r="D2" s="4"/>
      <c r="E2" s="4"/>
      <c r="F2" s="4"/>
      <c r="G2" s="4"/>
      <c r="H2" s="4"/>
      <c r="I2" s="4"/>
      <c r="J2" s="4"/>
      <c r="K2" s="4"/>
      <c r="L2" s="4"/>
      <c r="M2" s="4"/>
      <c r="N2" s="4"/>
      <c r="O2" s="4"/>
      <c r="P2" s="4"/>
      <c r="Q2" s="4"/>
      <c r="R2" s="4"/>
      <c r="S2" s="4"/>
      <c r="T2" s="4"/>
      <c r="U2" s="4"/>
      <c r="V2" s="4"/>
      <c r="W2" s="4"/>
      <c r="X2" s="4"/>
      <c r="Y2" s="4"/>
      <c r="Z2" s="4"/>
    </row>
    <row r="3" spans="1:26" x14ac:dyDescent="0.3">
      <c r="A3" s="4"/>
      <c r="B3" s="4"/>
      <c r="C3" s="4"/>
      <c r="D3" s="4"/>
      <c r="E3" s="4"/>
      <c r="F3" s="4"/>
      <c r="G3" s="4"/>
      <c r="H3" s="4"/>
      <c r="I3" s="4"/>
      <c r="J3" s="4"/>
      <c r="K3" s="4"/>
      <c r="L3" s="4"/>
      <c r="M3" s="4"/>
      <c r="N3" s="4"/>
      <c r="O3" s="4"/>
      <c r="P3" s="4"/>
      <c r="Q3" s="4"/>
      <c r="R3" s="4"/>
      <c r="S3" s="4"/>
      <c r="T3" s="4"/>
      <c r="U3" s="4"/>
      <c r="V3" s="4"/>
      <c r="W3" s="4"/>
      <c r="X3" s="4"/>
      <c r="Y3" s="4"/>
      <c r="Z3" s="4"/>
    </row>
    <row r="4" spans="1:26" x14ac:dyDescent="0.3">
      <c r="A4" s="4"/>
      <c r="B4" s="4"/>
      <c r="C4" s="4"/>
      <c r="D4" s="4"/>
      <c r="E4" s="4"/>
      <c r="F4" s="4"/>
      <c r="G4" s="4"/>
      <c r="H4" s="4"/>
      <c r="I4" s="4"/>
      <c r="J4" s="4"/>
      <c r="K4" s="4"/>
      <c r="L4" s="4"/>
      <c r="M4" s="4"/>
      <c r="N4" s="4"/>
      <c r="O4" s="4"/>
      <c r="P4" s="4"/>
      <c r="Q4" s="4"/>
      <c r="R4" s="4"/>
      <c r="S4" s="4"/>
      <c r="T4" s="4"/>
      <c r="U4" s="4"/>
      <c r="V4" s="4"/>
      <c r="W4" s="4"/>
      <c r="X4" s="4"/>
      <c r="Y4" s="4"/>
      <c r="Z4" s="4"/>
    </row>
    <row r="5" spans="1:26" x14ac:dyDescent="0.3">
      <c r="A5" s="4"/>
      <c r="B5" s="4"/>
      <c r="C5" s="4"/>
      <c r="D5" s="4"/>
      <c r="E5" s="4"/>
      <c r="F5" s="4"/>
      <c r="G5" s="4"/>
      <c r="H5" s="4"/>
      <c r="I5" s="4"/>
      <c r="J5" s="4"/>
      <c r="K5" s="4"/>
      <c r="L5" s="4"/>
      <c r="M5" s="4"/>
      <c r="N5" s="4"/>
      <c r="O5" s="4"/>
      <c r="P5" s="4"/>
      <c r="Q5" s="4"/>
      <c r="R5" s="4"/>
      <c r="S5" s="4"/>
      <c r="T5" s="4"/>
      <c r="U5" s="4"/>
      <c r="V5" s="4"/>
      <c r="W5" s="4"/>
      <c r="X5" s="4"/>
      <c r="Y5" s="4"/>
      <c r="Z5" s="4"/>
    </row>
    <row r="6" spans="1:26" x14ac:dyDescent="0.3">
      <c r="A6" s="4"/>
      <c r="B6" s="4"/>
      <c r="C6" s="4"/>
      <c r="D6" s="4"/>
      <c r="E6" s="4"/>
      <c r="F6" s="4"/>
      <c r="G6" s="4"/>
      <c r="H6" s="4"/>
      <c r="I6" s="4"/>
      <c r="J6" s="4"/>
      <c r="K6" s="4"/>
      <c r="L6" s="4"/>
      <c r="M6" s="4"/>
      <c r="N6" s="4"/>
      <c r="O6" s="4"/>
      <c r="P6" s="4"/>
      <c r="Q6" s="4"/>
      <c r="R6" s="4"/>
      <c r="S6" s="4"/>
      <c r="T6" s="4"/>
      <c r="U6" s="4"/>
      <c r="V6" s="4"/>
      <c r="W6" s="4"/>
      <c r="X6" s="4"/>
      <c r="Y6" s="4"/>
      <c r="Z6" s="4"/>
    </row>
    <row r="7" spans="1:26" x14ac:dyDescent="0.3">
      <c r="A7" s="4"/>
      <c r="B7" s="4"/>
      <c r="C7" s="4"/>
      <c r="D7" s="4"/>
      <c r="E7" s="4"/>
      <c r="F7" s="4"/>
      <c r="G7" s="4"/>
      <c r="H7" s="4"/>
      <c r="I7" s="4"/>
      <c r="J7" s="4"/>
      <c r="K7" s="4"/>
      <c r="L7" s="4"/>
      <c r="M7" s="4"/>
      <c r="N7" s="4"/>
      <c r="O7" s="4"/>
      <c r="P7" s="4"/>
      <c r="Q7" s="4"/>
      <c r="R7" s="4"/>
      <c r="S7" s="4"/>
      <c r="T7" s="4"/>
      <c r="U7" s="4"/>
      <c r="V7" s="4"/>
      <c r="W7" s="4"/>
      <c r="X7" s="4"/>
      <c r="Y7" s="4"/>
      <c r="Z7" s="4"/>
    </row>
    <row r="8" spans="1:26" x14ac:dyDescent="0.3">
      <c r="A8" s="4"/>
      <c r="B8" s="4"/>
      <c r="C8" s="4"/>
      <c r="D8" s="4"/>
      <c r="E8" s="4"/>
      <c r="F8" s="4"/>
      <c r="G8" s="4"/>
      <c r="H8" s="4"/>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6" x14ac:dyDescent="0.3">
      <c r="A26" s="4"/>
      <c r="B26" s="4"/>
      <c r="C26" s="9" t="s">
        <v>10</v>
      </c>
      <c r="D26" s="4"/>
      <c r="E26" s="4"/>
      <c r="F26" s="4"/>
      <c r="G26" s="4"/>
      <c r="H26" s="4"/>
      <c r="I26" s="4"/>
      <c r="J26" s="4"/>
      <c r="K26" s="4"/>
      <c r="L26" s="4"/>
      <c r="M26" s="4"/>
      <c r="N26" s="4"/>
      <c r="O26" s="4"/>
      <c r="P26" s="4"/>
      <c r="Q26" s="4"/>
      <c r="R26" s="4"/>
      <c r="S26" s="4"/>
      <c r="T26" s="4"/>
      <c r="U26" s="4"/>
      <c r="V26" s="4"/>
      <c r="W26" s="4"/>
      <c r="X26" s="4"/>
      <c r="Y26" s="4"/>
      <c r="Z26" s="4"/>
    </row>
    <row r="27" spans="1:26" ht="18" x14ac:dyDescent="0.35">
      <c r="A27" s="4"/>
      <c r="B27" s="4"/>
      <c r="C27" s="10"/>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7A00564-D0AA-4A8B-B954-B538FDB0D210}">
  <ds:schemaRefs/>
</ds:datastoreItem>
</file>

<file path=customXml/itemProps2.xml><?xml version="1.0" encoding="utf-8"?>
<ds:datastoreItem xmlns:ds="http://schemas.openxmlformats.org/officeDocument/2006/customXml" ds:itemID="{445D7234-8223-4830-BA68-C2BA2FB1706A}">
  <ds:schemaRefs/>
</ds:datastoreItem>
</file>

<file path=customXml/itemProps3.xml><?xml version="1.0" encoding="utf-8"?>
<ds:datastoreItem xmlns:ds="http://schemas.openxmlformats.org/officeDocument/2006/customXml" ds:itemID="{04CC8CA0-DFD9-493E-92BF-0DE50D3AEFFA}">
  <ds:schemaRefs/>
</ds:datastoreItem>
</file>

<file path=customXml/itemProps4.xml><?xml version="1.0" encoding="utf-8"?>
<ds:datastoreItem xmlns:ds="http://schemas.openxmlformats.org/officeDocument/2006/customXml" ds:itemID="{AE71BB41-C072-46A3-8B2F-D6878B0F8CC3}">
  <ds:schemaRefs/>
</ds:datastoreItem>
</file>

<file path=customXml/itemProps5.xml><?xml version="1.0" encoding="utf-8"?>
<ds:datastoreItem xmlns:ds="http://schemas.openxmlformats.org/officeDocument/2006/customXml" ds:itemID="{C422075F-13B4-4203-8CF0-FD1F6146715A}">
  <ds:schemaRefs/>
</ds:datastoreItem>
</file>

<file path=customXml/itemProps6.xml><?xml version="1.0" encoding="utf-8"?>
<ds:datastoreItem xmlns:ds="http://schemas.openxmlformats.org/officeDocument/2006/customXml" ds:itemID="{FCF6FD7D-197A-488C-BF7A-72BD4C3B9B05}">
  <ds:schemaRefs/>
</ds:datastoreItem>
</file>

<file path=customXml/itemProps7.xml><?xml version="1.0" encoding="utf-8"?>
<ds:datastoreItem xmlns:ds="http://schemas.openxmlformats.org/officeDocument/2006/customXml" ds:itemID="{28005830-67C3-446B-878F-CC846B774B75}">
  <ds:schemaRefs/>
</ds:datastoreItem>
</file>

<file path=customXml/itemProps8.xml><?xml version="1.0" encoding="utf-8"?>
<ds:datastoreItem xmlns:ds="http://schemas.openxmlformats.org/officeDocument/2006/customXml" ds:itemID="{4046421D-ABF2-410D-9DC4-7E955C6A9F04}">
  <ds:schemaRefs/>
</ds:datastoreItem>
</file>

<file path=customXml/itemProps9.xml><?xml version="1.0" encoding="utf-8"?>
<ds:datastoreItem xmlns:ds="http://schemas.openxmlformats.org/officeDocument/2006/customXml" ds:itemID="{54BF5F2D-4511-4365-B790-74E893DC79FF}">
  <ds:schemaRefs/>
</ds:datastoreItem>
</file>

<file path=customXml/itemProps10.xml><?xml version="1.0" encoding="utf-8"?>
<ds:datastoreItem xmlns:ds="http://schemas.openxmlformats.org/officeDocument/2006/customXml" ds:itemID="{90A88BFC-226B-41E5-8ED9-2126D825AA33}">
  <ds:schemaRefs/>
</ds:datastoreItem>
</file>

<file path=customXml/itemProps11.xml><?xml version="1.0" encoding="utf-8"?>
<ds:datastoreItem xmlns:ds="http://schemas.openxmlformats.org/officeDocument/2006/customXml" ds:itemID="{EA13DAA3-5023-4C54-B6E3-64929AF2AEA2}">
  <ds:schemaRefs/>
</ds:datastoreItem>
</file>

<file path=customXml/itemProps12.xml><?xml version="1.0" encoding="utf-8"?>
<ds:datastoreItem xmlns:ds="http://schemas.openxmlformats.org/officeDocument/2006/customXml" ds:itemID="{D12CB70D-7F4E-4AA2-824A-79EA52739DEB}">
  <ds:schemaRefs/>
</ds:datastoreItem>
</file>

<file path=customXml/itemProps13.xml><?xml version="1.0" encoding="utf-8"?>
<ds:datastoreItem xmlns:ds="http://schemas.openxmlformats.org/officeDocument/2006/customXml" ds:itemID="{E90A3A86-2B64-4424-8989-A9BAB5B8C071}">
  <ds:schemaRefs/>
</ds:datastoreItem>
</file>

<file path=customXml/itemProps14.xml><?xml version="1.0" encoding="utf-8"?>
<ds:datastoreItem xmlns:ds="http://schemas.openxmlformats.org/officeDocument/2006/customXml" ds:itemID="{4964AD04-D04B-4FD0-B3E7-52384E300E9A}">
  <ds:schemaRefs/>
</ds:datastoreItem>
</file>

<file path=customXml/itemProps15.xml><?xml version="1.0" encoding="utf-8"?>
<ds:datastoreItem xmlns:ds="http://schemas.openxmlformats.org/officeDocument/2006/customXml" ds:itemID="{B492B74A-642D-4B64-946C-9670C7DE24DE}">
  <ds:schemaRefs/>
</ds:datastoreItem>
</file>

<file path=customXml/itemProps16.xml><?xml version="1.0" encoding="utf-8"?>
<ds:datastoreItem xmlns:ds="http://schemas.openxmlformats.org/officeDocument/2006/customXml" ds:itemID="{D8F2AA19-2C95-42FC-B51A-894AA55B2272}">
  <ds:schemaRefs>
    <ds:schemaRef ds:uri="http://schemas.microsoft.com/DataMashup"/>
  </ds:schemaRefs>
</ds:datastoreItem>
</file>

<file path=customXml/itemProps17.xml><?xml version="1.0" encoding="utf-8"?>
<ds:datastoreItem xmlns:ds="http://schemas.openxmlformats.org/officeDocument/2006/customXml" ds:itemID="{291B2FD7-4E2D-4847-B2EF-0B9C86A043DB}">
  <ds:schemaRefs/>
</ds:datastoreItem>
</file>

<file path=customXml/itemProps18.xml><?xml version="1.0" encoding="utf-8"?>
<ds:datastoreItem xmlns:ds="http://schemas.openxmlformats.org/officeDocument/2006/customXml" ds:itemID="{09AD038C-1018-42EB-8BFA-136E7E6A50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Pivot-Report</vt:lpstr>
      <vt:lpstr>Dashboard</vt:lpstr>
      <vt:lpstr>Daily ER of Patient</vt:lpstr>
      <vt:lpstr>Average Wait time</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Hafiz M Asghar</dc:creator>
  <cp:lastModifiedBy>A Rehman</cp:lastModifiedBy>
  <dcterms:created xsi:type="dcterms:W3CDTF">2026-07-14T06:21:48Z</dcterms:created>
  <dcterms:modified xsi:type="dcterms:W3CDTF">2026-09-24T06:24:46Z</dcterms:modified>
</cp:coreProperties>
</file>